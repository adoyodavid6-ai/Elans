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Sheet" sheetId="1" state="visible" r:id="rId3"/>
    <sheet name="EoM Sheet" sheetId="2" state="visible" r:id="rId4"/>
    <sheet name="Summary" sheetId="3" state="visible" r:id="rId5"/>
  </sheets>
  <definedNames>
    <definedName function="false" hidden="false" localSheetId="0" name="_xlnm.Print_Titles" vbProcedure="false">'BoM Sheet'!$8:$8</definedName>
    <definedName function="false" hidden="true" localSheetId="0" name="_xlnm._FilterDatabase" vbProcedure="false">'BoM Sheet'!$A$8:$J$108</definedName>
    <definedName function="false" hidden="false" localSheetId="1" name="_xlnm.Print_Titles" vbProcedure="false">'EoM Sheet'!$8:$8</definedName>
    <definedName function="false" hidden="true" localSheetId="1" name="_xlnm._FilterDatabase" vbProcedure="false">'EoM Sheet'!$A$8:$J$108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" authorId="0">
      <text>
        <r>
          <rPr>
            <sz val="10"/>
            <rFont val="Arial"/>
            <family val="2"/>
          </rPr>
          <t xml:space="preserve">Looked up from the EoM Sheet: the name in column D must match a name in column B of that sheet (not case-sensitive; a Mr./Ms. title in front is ignored). If listed twice, the latest date is used.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" authorId="0">
      <text>
        <r>
          <rPr>
            <sz val="10"/>
            <rFont val="Arial"/>
            <family val="2"/>
          </rPr>
          <t xml:space="preserve">Looked up from the BoM Sheet: the name in column D must match a name in column B of that sheet (not case-sensitive; a Mr./Ms. title in front is ignored). If listed twice, the latest date is used.</t>
        </r>
      </text>
    </comment>
  </commentList>
</comments>
</file>

<file path=xl/sharedStrings.xml><?xml version="1.0" encoding="utf-8"?>
<sst xmlns="http://schemas.openxmlformats.org/spreadsheetml/2006/main" count="202" uniqueCount="120">
  <si>
    <t xml:space="preserve">Beginning of Mission Announcements &amp; Tracker</t>
  </si>
  <si>
    <t xml:space="preserve">SOK Delegation  ·  Alerts update automatically from today's date  ·  Handover overlap = days the outgoing and incoming staff are both in post (negative = vacancy gap)</t>
  </si>
  <si>
    <t xml:space="preserve">TOTAL</t>
  </si>
  <si>
    <t xml:space="preserve">ARRIVED</t>
  </si>
  <si>
    <t xml:space="preserve">DUE ≤ 14 DAYS</t>
  </si>
  <si>
    <t xml:space="preserve">DUE ≤ 30 DAYS</t>
  </si>
  <si>
    <t xml:space="preserve">UPCOMING / TBC</t>
  </si>
  <si>
    <t xml:space="preserve">NEXT ARRIVAL</t>
  </si>
  <si>
    <t xml:space="preserve">No.</t>
  </si>
  <si>
    <t xml:space="preserve">Name</t>
  </si>
  <si>
    <t xml:space="preserve">Position</t>
  </si>
  <si>
    <t xml:space="preserve">Replacing</t>
  </si>
  <si>
    <t xml:space="preserve">Arrival Date (BoM)</t>
  </si>
  <si>
    <t xml:space="preserve">Days to Go</t>
  </si>
  <si>
    <t xml:space="preserve">Status</t>
  </si>
  <si>
    <t xml:space="preserve">Predecessor's EoM</t>
  </si>
  <si>
    <t xml:space="preserve">Handover Overlap (days)</t>
  </si>
  <si>
    <t xml:space="preserve">Notes</t>
  </si>
  <si>
    <t xml:space="preserve">Mr. Christophe MBARAGA</t>
  </si>
  <si>
    <t xml:space="preserve">Finance &amp; Administration Manager</t>
  </si>
  <si>
    <t xml:space="preserve">Pranvera Vokshi</t>
  </si>
  <si>
    <t xml:space="preserve">Ms. Carmen Elena MARTINEZ ALVARADO</t>
  </si>
  <si>
    <t xml:space="preserve">Wathab Engineer</t>
  </si>
  <si>
    <t xml:space="preserve">Melisa RADHAKRISHNAN</t>
  </si>
  <si>
    <t xml:space="preserve">Ms. Vanessa IARIA</t>
  </si>
  <si>
    <t xml:space="preserve">Protection Delegate</t>
  </si>
  <si>
    <t xml:space="preserve">Nantenaina Raherimanjato</t>
  </si>
  <si>
    <t xml:space="preserve">Ms. Beata SKWARSKA-SÖNCHEN</t>
  </si>
  <si>
    <t xml:space="preserve">Head of Programs &amp; Prevention</t>
  </si>
  <si>
    <t xml:space="preserve">Alexandre Formisano</t>
  </si>
  <si>
    <t xml:space="preserve">Mr. Eduardo Augusto NEVES</t>
  </si>
  <si>
    <t xml:space="preserve">Ecosec Delegate</t>
  </si>
  <si>
    <t xml:space="preserve">Hassan Suleiman SULEIMAN</t>
  </si>
  <si>
    <t xml:space="preserve">Mr. Kosimo Anthony Richard UKELE</t>
  </si>
  <si>
    <t xml:space="preserve">Mohammed Toffic</t>
  </si>
  <si>
    <t xml:space="preserve">Mr. Ronaldo RAMIREZ RODRIGUEZ</t>
  </si>
  <si>
    <t xml:space="preserve">Data &amp; Analytics Manager</t>
  </si>
  <si>
    <t xml:space="preserve">Ei Ei Tun</t>
  </si>
  <si>
    <t xml:space="preserve">Ms. Despoina SPANOUDI</t>
  </si>
  <si>
    <t xml:space="preserve">Protection Coordinator</t>
  </si>
  <si>
    <t xml:space="preserve">Marie-Genevieve Nightingale</t>
  </si>
  <si>
    <t xml:space="preserve">Mr. Chawki LAATAR</t>
  </si>
  <si>
    <t xml:space="preserve">Health Delegate North</t>
  </si>
  <si>
    <t xml:space="preserve">Hamed MAHAMAT TAHER HAROUNA</t>
  </si>
  <si>
    <t xml:space="preserve">Mr. Andrew MOK YUAN MIN</t>
  </si>
  <si>
    <t xml:space="preserve">First Aid and Prehospital Emergency Care Delegate</t>
  </si>
  <si>
    <t xml:space="preserve">Mickael PAYET</t>
  </si>
  <si>
    <t xml:space="preserve">Ms. Cornelia Isabella HEINE</t>
  </si>
  <si>
    <t xml:space="preserve">Economic Security Delegate</t>
  </si>
  <si>
    <t xml:space="preserve">Mari Fungirayi MANYARARA</t>
  </si>
  <si>
    <t xml:space="preserve">Mr. Subhash SINHA</t>
  </si>
  <si>
    <t xml:space="preserve">Physical Rehabilitation Project Manager</t>
  </si>
  <si>
    <t xml:space="preserve">Philip MORGAN</t>
  </si>
  <si>
    <t xml:space="preserve">Mr. Julien BERDA</t>
  </si>
  <si>
    <t xml:space="preserve">Deputy Wathab Coordinator</t>
  </si>
  <si>
    <t xml:space="preserve">Seunghyeon HAN</t>
  </si>
  <si>
    <t xml:space="preserve">Mr. Christoph KOHLER</t>
  </si>
  <si>
    <t xml:space="preserve">Head Of Support</t>
  </si>
  <si>
    <t xml:space="preserve">Angeline Joy DAVIES</t>
  </si>
  <si>
    <t xml:space="preserve">Mr. Odoardo GIRARDI</t>
  </si>
  <si>
    <t xml:space="preserve">Deputy Protection Coordinator PFL</t>
  </si>
  <si>
    <t xml:space="preserve">Tatjana Halpaap</t>
  </si>
  <si>
    <t xml:space="preserve">Mr. Issa Ahmed DAHIR</t>
  </si>
  <si>
    <t xml:space="preserve">Health Programme Manager</t>
  </si>
  <si>
    <t xml:space="preserve">New position</t>
  </si>
  <si>
    <t xml:space="preserve">Ms. Asvat AKHMEDOVA</t>
  </si>
  <si>
    <t xml:space="preserve">Country Procurement Manager</t>
  </si>
  <si>
    <t xml:space="preserve">Hossein Javadian</t>
  </si>
  <si>
    <t xml:space="preserve">Ms. Karin LEVENBY BOVY</t>
  </si>
  <si>
    <t xml:space="preserve">Health Coordinator</t>
  </si>
  <si>
    <t xml:space="preserve">Ferdinand DEMBELE</t>
  </si>
  <si>
    <t xml:space="preserve">Mr. Martin RYNES</t>
  </si>
  <si>
    <t xml:space="preserve">Deputy Coordinator Detention</t>
  </si>
  <si>
    <t xml:space="preserve">Fernando Ivan Santos Ostrowski</t>
  </si>
  <si>
    <t xml:space="preserve">Ms. Vera Regina Nastassia KEGEL</t>
  </si>
  <si>
    <t xml:space="preserve">Els GOOSSENS</t>
  </si>
  <si>
    <t xml:space="preserve">Mr. Abdul Basir SALEHEE</t>
  </si>
  <si>
    <t xml:space="preserve">Supply Chain Coordinator 2</t>
  </si>
  <si>
    <t xml:space="preserve">Jean Paul Kevin ETAME</t>
  </si>
  <si>
    <t xml:space="preserve">Mr. Zeljko LEZAJA</t>
  </si>
  <si>
    <t xml:space="preserve">Head Of Sub Structure 3</t>
  </si>
  <si>
    <t xml:space="preserve">Manish DAS</t>
  </si>
  <si>
    <t xml:space="preserve">Status key</t>
  </si>
  <si>
    <t xml:space="preserve">Arrived</t>
  </si>
  <si>
    <t xml:space="preserve">Date has passed</t>
  </si>
  <si>
    <t xml:space="preserve">Due ≤ 14 days</t>
  </si>
  <si>
    <t xml:space="preserve">Within the next two weeks — action needed</t>
  </si>
  <si>
    <t xml:space="preserve">Due ≤ 30 days</t>
  </si>
  <si>
    <t xml:space="preserve">Within the next month</t>
  </si>
  <si>
    <t xml:space="preserve">Upcoming</t>
  </si>
  <si>
    <t xml:space="preserve">More than 30 days away</t>
  </si>
  <si>
    <t xml:space="preserve">Date TBC</t>
  </si>
  <si>
    <t xml:space="preserve">No date entered yet</t>
  </si>
  <si>
    <t xml:space="preserve">Highlighted name (amber) = the same person appears twice on this sheet.</t>
  </si>
  <si>
    <t xml:space="preserve">End of Mission Tracker</t>
  </si>
  <si>
    <t xml:space="preserve">DEPARTED</t>
  </si>
  <si>
    <t xml:space="preserve">NEXT DEPARTURE</t>
  </si>
  <si>
    <t xml:space="preserve">Replacement</t>
  </si>
  <si>
    <t xml:space="preserve">Departure Date (EoM)</t>
  </si>
  <si>
    <t xml:space="preserve">Replacement's BoM</t>
  </si>
  <si>
    <t xml:space="preserve">Jean Paul Kevin Etame</t>
  </si>
  <si>
    <t xml:space="preserve">Supply Chain Coordinator</t>
  </si>
  <si>
    <t xml:space="preserve">Angeline Davies</t>
  </si>
  <si>
    <t xml:space="preserve">Head of Support</t>
  </si>
  <si>
    <t xml:space="preserve">Mohammed ESHAG SALIH ADAM</t>
  </si>
  <si>
    <t xml:space="preserve">Tatjana HALPAAP</t>
  </si>
  <si>
    <t xml:space="preserve">Fernando Ivan SANTOS OSTROWSKI</t>
  </si>
  <si>
    <t xml:space="preserve">Vera Regina Nastassia KEGEL</t>
  </si>
  <si>
    <t xml:space="preserve">Nassarular Dar</t>
  </si>
  <si>
    <t xml:space="preserve">Detention Doctor</t>
  </si>
  <si>
    <t xml:space="preserve">Departed</t>
  </si>
  <si>
    <t xml:space="preserve">BoM / EoM Summary</t>
  </si>
  <si>
    <t xml:space="preserve">Arrivals and departures per month, updated from the BoM and EoM sheets</t>
  </si>
  <si>
    <t xml:space="preserve">Month</t>
  </si>
  <si>
    <t xml:space="preserve">Arrivals (BoM)</t>
  </si>
  <si>
    <t xml:space="preserve">Departures (EoM)</t>
  </si>
  <si>
    <t xml:space="preserve">Net change</t>
  </si>
  <si>
    <t xml:space="preserve">How it works</t>
  </si>
  <si>
    <t xml:space="preserve">• Type names, positions and dates only — numbering, status, days to go and handover columns fill in by themselves.
• Status changes automatically every day based on today's date.
• Handover overlap compares the BoM and EoM sheets by name: keep the outgoing person's name in the BoM 'Replacing' column identical to the EoM 'Name' column (titles like Mr./Ms. go in the BoM name only).
• Negative overlap (red) = days the post will be vacant between departure and arrival.
• Dates outside the months above are still tracked on the BoM/EoM sheets.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</si>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</sst>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@"/>
    <numFmt numFmtId="167" formatCode="General"/>
    <numFmt numFmtId="168" formatCode="dd\ mmm\ yyyy"/>
    <numFmt numFmtId="169" formatCode="\+0;\-0;0"/>
    <numFmt numFmtId="170" formatCode="mmm\ yy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masis MT Pro Black"/>
      <family val="0"/>
      <charset val="1"/>
    </font>
    <font>
      <i val="true"/>
      <sz val="10"/>
      <color rgb="FF660033"/>
      <name val="Arial Nova"/>
      <family val="0"/>
      <charset val="1"/>
    </font>
    <font>
      <b val="true"/>
      <sz val="8"/>
      <color rgb="FF7F6070"/>
      <name val="Arial Nova"/>
      <family val="0"/>
      <charset val="1"/>
    </font>
    <font>
      <b val="true"/>
      <sz val="18"/>
      <color rgb="FF660033"/>
      <name val="Arial Nova"/>
      <family val="0"/>
      <charset val="1"/>
    </font>
    <font>
      <b val="true"/>
      <sz val="18"/>
      <color rgb="FF375623"/>
      <name val="Arial Nova"/>
      <family val="0"/>
      <charset val="1"/>
    </font>
    <font>
      <b val="true"/>
      <sz val="18"/>
      <color rgb="FF9C0006"/>
      <name val="Arial Nova"/>
      <family val="0"/>
      <charset val="1"/>
    </font>
    <font>
      <b val="true"/>
      <sz val="18"/>
      <color rgb="FF7F5F00"/>
      <name val="Arial Nova"/>
      <family val="0"/>
      <charset val="1"/>
    </font>
    <font>
      <b val="true"/>
      <sz val="18"/>
      <color rgb="FF1F4E79"/>
      <name val="Arial Nova"/>
      <family val="0"/>
      <charset val="1"/>
    </font>
    <font>
      <b val="true"/>
      <sz val="12"/>
      <color rgb="FF660033"/>
      <name val="Arial Nova"/>
      <family val="0"/>
      <charset val="1"/>
    </font>
    <font>
      <b val="true"/>
      <sz val="10"/>
      <color rgb="FFFFFFFF"/>
      <name val="Arial Nova"/>
      <family val="0"/>
      <charset val="1"/>
    </font>
    <font>
      <sz val="10"/>
      <color rgb="FF7F6070"/>
      <name val="Arial Nova"/>
      <family val="0"/>
      <charset val="1"/>
    </font>
    <font>
      <b val="true"/>
      <sz val="10"/>
      <name val="Arial Nova"/>
      <family val="0"/>
      <charset val="1"/>
    </font>
    <font>
      <sz val="10"/>
      <name val="Arial Nova"/>
      <family val="0"/>
      <charset val="1"/>
    </font>
    <font>
      <sz val="10"/>
      <color rgb="FF404040"/>
      <name val="Arial Nova"/>
      <family val="0"/>
      <charset val="1"/>
    </font>
    <font>
      <b val="true"/>
      <sz val="10"/>
      <color rgb="FF660033"/>
      <name val="Arial Nova"/>
      <family val="0"/>
      <charset val="1"/>
    </font>
    <font>
      <b val="true"/>
      <sz val="10"/>
      <color rgb="FF375623"/>
      <name val="Arial Nova"/>
      <family val="0"/>
      <charset val="1"/>
    </font>
    <font>
      <i val="true"/>
      <sz val="9"/>
      <color rgb="FF7F6070"/>
      <name val="Arial Nova"/>
      <family val="0"/>
      <charset val="1"/>
    </font>
    <font>
      <b val="true"/>
      <sz val="10"/>
      <color rgb="FF9C0006"/>
      <name val="Arial Nova"/>
      <family val="0"/>
      <charset val="1"/>
    </font>
    <font>
      <b val="true"/>
      <sz val="10"/>
      <color rgb="FF7F5F00"/>
      <name val="Arial Nova"/>
      <family val="0"/>
      <charset val="1"/>
    </font>
    <font>
      <b val="true"/>
      <sz val="10"/>
      <color rgb="FF1F4E79"/>
      <name val="Arial Nova"/>
      <family val="0"/>
      <charset val="1"/>
    </font>
    <font>
      <b val="true"/>
      <sz val="10"/>
      <color rgb="FF595959"/>
      <name val="Arial Nova"/>
      <family val="0"/>
      <charset val="1"/>
    </font>
    <font>
      <sz val="10"/>
      <name val="Arial"/>
      <family val="2"/>
    </font>
    <font>
      <b val="true"/>
      <sz val="11"/>
      <color rgb="FFFFFFFF"/>
      <name val="Arial Nova"/>
      <family val="0"/>
      <charset val="1"/>
    </font>
    <font>
      <sz val="10"/>
      <color rgb="FF000000"/>
      <name val="Arial Nov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660033"/>
        <bgColor rgb="FF4A0025"/>
      </patternFill>
    </fill>
    <fill>
      <patternFill patternType="solid">
        <fgColor rgb="FFF3E3EA"/>
        <bgColor rgb="FFEDEDED"/>
      </patternFill>
    </fill>
    <fill>
      <patternFill patternType="solid">
        <fgColor rgb="FFF9F0F4"/>
        <bgColor rgb="FFFDEDEF"/>
      </patternFill>
    </fill>
    <fill>
      <patternFill patternType="solid">
        <fgColor rgb="FF4A0025"/>
        <bgColor rgb="FF660033"/>
      </patternFill>
    </fill>
    <fill>
      <patternFill patternType="solid">
        <fgColor rgb="FFFCF8FA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F8D7DA"/>
        <bgColor rgb="FFF3E3EA"/>
      </patternFill>
    </fill>
    <fill>
      <patternFill patternType="solid">
        <fgColor rgb="FFFFEB9C"/>
        <bgColor rgb="FFF8D7DA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9F0F4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 style="medium">
        <color rgb="FF660033"/>
      </top>
      <bottom/>
      <diagonal/>
    </border>
    <border diagonalUp="false" diagonalDown="false">
      <left/>
      <right/>
      <top style="medium">
        <color rgb="FF375623"/>
      </top>
      <bottom/>
      <diagonal/>
    </border>
    <border diagonalUp="false" diagonalDown="false">
      <left/>
      <right/>
      <top style="medium">
        <color rgb="FF9C0006"/>
      </top>
      <bottom/>
      <diagonal/>
    </border>
    <border diagonalUp="false" diagonalDown="false">
      <left/>
      <right/>
      <top style="medium">
        <color rgb="FF7F5F00"/>
      </top>
      <bottom/>
      <diagonal/>
    </border>
    <border diagonalUp="false" diagonalDown="false">
      <left/>
      <right/>
      <top style="medium">
        <color rgb="FF1F4E79"/>
      </top>
      <bottom/>
      <diagonal/>
    </border>
    <border diagonalUp="false" diagonalDown="false">
      <left/>
      <right/>
      <top/>
      <bottom style="thin">
        <color rgb="FFDCCAD3"/>
      </bottom>
      <diagonal/>
    </border>
    <border diagonalUp="false" diagonalDown="false">
      <left style="thin">
        <color rgb="FFDCCAD3"/>
      </left>
      <right style="thin">
        <color rgb="FFDCCAD3"/>
      </right>
      <top style="thin">
        <color rgb="FFDCCAD3"/>
      </top>
      <bottom style="thin">
        <color rgb="FFDCCA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6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6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8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1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70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70" fontId="18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4A0025"/>
          <bgColor rgb="FF000000"/>
        </patternFill>
      </fill>
    </dxf>
    <dxf>
      <fill>
        <patternFill patternType="solid">
          <fgColor rgb="FFFCF8FA"/>
          <bgColor rgb="FF000000"/>
        </patternFill>
      </fill>
    </dxf>
    <dxf>
      <fill>
        <patternFill patternType="solid">
          <fgColor rgb="FFFDED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607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66003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8D7DA"/>
        </patternFill>
      </fill>
    </dxf>
    <dxf>
      <font>
        <b val="1"/>
        <color rgb="FF7F5F00"/>
      </font>
      <fill>
        <patternFill>
          <bgColor rgb="FFFFEB9C"/>
        </patternFill>
      </fill>
    </dxf>
    <dxf>
      <font>
        <b val="1"/>
        <color rgb="FF1F4E79"/>
      </font>
      <fill>
        <patternFill>
          <bgColor rgb="FFDDEBF7"/>
        </patternFill>
      </fill>
    </dxf>
    <dxf>
      <font>
        <b val="1"/>
        <color rgb="FF595959"/>
      </font>
      <fill>
        <patternFill>
          <bgColor rgb="FFEDEDED"/>
        </patternFill>
      </fill>
    </dxf>
    <dxf>
      <font>
        <b val="1"/>
        <color rgb="FF375623"/>
      </font>
      <fill>
        <patternFill>
          <bgColor rgb="FFE2EFDA"/>
        </patternFill>
      </fill>
    </dxf>
    <dxf>
      <fill>
        <patternFill>
          <bgColor rgb="FFFDEDEF"/>
        </patternFill>
      </fill>
    </dxf>
    <dxf>
      <font>
        <color rgb="FF8C8C8C"/>
      </font>
    </dxf>
    <dxf>
      <font>
        <b val="1"/>
        <color rgb="FF375623"/>
      </font>
    </dxf>
    <dxf>
      <font>
        <i val="1"/>
        <color rgb="FF7F6070"/>
      </font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5F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5F00"/>
      <rgbColor rgb="FF800080"/>
      <rgbColor rgb="FF008080"/>
      <rgbColor rgb="FFBFBFBF"/>
      <rgbColor rgb="FF595959"/>
      <rgbColor rgb="FF9999FF"/>
      <rgbColor rgb="FF993366"/>
      <rgbColor rgb="FFFCF8FA"/>
      <rgbColor rgb="FFDDEBF7"/>
      <rgbColor rgb="FF660033"/>
      <rgbColor rgb="FFFF8080"/>
      <rgbColor rgb="FF0066CC"/>
      <rgbColor rgb="FFDCCAD3"/>
      <rgbColor rgb="FF000080"/>
      <rgbColor rgb="FFFF00FF"/>
      <rgbColor rgb="FFFFFF00"/>
      <rgbColor rgb="FF00FFFF"/>
      <rgbColor rgb="FF800080"/>
      <rgbColor rgb="FF4A0025"/>
      <rgbColor rgb="FF008080"/>
      <rgbColor rgb="FF0000FF"/>
      <rgbColor rgb="FF00CCFF"/>
      <rgbColor rgb="FFEDEDED"/>
      <rgbColor rgb="FFE2EFDA"/>
      <rgbColor rgb="FFFFEB9C"/>
      <rgbColor rgb="FFF3E3EA"/>
      <rgbColor rgb="FFFDEDEF"/>
      <rgbColor rgb="FFF9F0F4"/>
      <rgbColor rgb="FFF8D7DA"/>
      <rgbColor rgb="FF3366FF"/>
      <rgbColor rgb="FF33CCCC"/>
      <rgbColor rgb="FF99CC00"/>
      <rgbColor rgb="FFFFCC00"/>
      <rgbColor rgb="FFFF9900"/>
      <rgbColor rgb="FFFF6600"/>
      <rgbColor rgb="FF7F6070"/>
      <rgbColor rgb="FF8C8C8C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0033"/>
    <pageSetUpPr fitToPage="true"/>
  </sheetPr>
  <dimension ref="A1:J11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4" t="s">
        <v>3</v>
      </c>
      <c r="D4" s="5" t="s">
        <v>4</v>
      </c>
      <c r="E4" s="6" t="s">
        <v>5</v>
      </c>
      <c r="F4" s="6"/>
      <c r="G4" s="7" t="s">
        <v>6</v>
      </c>
      <c r="H4" s="3" t="s">
        <v>7</v>
      </c>
      <c r="I4" s="3"/>
      <c r="J4" s="3"/>
    </row>
    <row r="5" customFormat="false" ht="18" hidden="false" customHeight="true" outlineLevel="0" collapsed="false">
      <c r="A5" s="8" t="n">
        <f aca="false">COUNTA($B$9:$B$108)</f>
        <v>22</v>
      </c>
      <c r="B5" s="8"/>
      <c r="C5" s="9" t="n">
        <f aca="false">COUNTIF($G$9:$G$108,"Arrived")</f>
        <v>18</v>
      </c>
      <c r="D5" s="10" t="n">
        <f aca="false">COUNTIF($G$9:$G$108,"Due ≤ 14 days")</f>
        <v>1</v>
      </c>
      <c r="E5" s="11" t="n">
        <f aca="false">COUNTIF($G$9:$G$108,"Due ≤ 30 days")</f>
        <v>0</v>
      </c>
      <c r="F5" s="11"/>
      <c r="G5" s="12" t="str">
        <f aca="false">COUNTIF($G$9:$G$108,"Upcoming")&amp;" / "&amp;COUNTIF($G$9:$G$108,"Date TBC")</f>
        <v>3 / 0</v>
      </c>
      <c r="H5" s="13" t="str">
        <f aca="true">IF(COUNTIF($E$9:$E$108,"&gt;="&amp;TODAY())=0,"None scheduled",INDEX($B$9:$B$108,MATCH(_xlfn.MINIFS($E$9:$E$108,$E$9:$E$108,"&gt;="&amp;TODAY()),$E$9:$E$108,0))&amp;"  ·  "&amp;TEXT(_xlfn.MINIFS($E$9:$E$108,$E$9:$E$108,"&gt;="&amp;TODAY()),"dd mmm yyyy"))</f>
        <v>Mr. Martin RYNES  ·  02 Nov 2026</v>
      </c>
      <c r="I5" s="13"/>
      <c r="J5" s="13"/>
    </row>
    <row r="6" customFormat="false" ht="13.5" hidden="false" customHeight="true" outlineLevel="0" collapsed="false">
      <c r="A6" s="8"/>
      <c r="B6" s="8"/>
      <c r="C6" s="9"/>
      <c r="D6" s="9"/>
      <c r="E6" s="9"/>
      <c r="F6" s="11"/>
      <c r="G6" s="12"/>
      <c r="H6" s="12"/>
      <c r="I6" s="13"/>
      <c r="J6" s="13"/>
    </row>
    <row r="7" customFormat="false" ht="9.75" hidden="false" customHeight="true" outlineLevel="0" collapsed="false"/>
    <row r="8" customFormat="false" ht="33.75" hidden="false" customHeight="true" outlineLevel="0" collapsed="false">
      <c r="A8" s="14" t="s">
        <v>8</v>
      </c>
      <c r="B8" s="14" t="s">
        <v>9</v>
      </c>
      <c r="C8" s="14" t="s">
        <v>10</v>
      </c>
      <c r="D8" s="14" t="s">
        <v>11</v>
      </c>
      <c r="E8" s="14" t="s">
        <v>12</v>
      </c>
      <c r="F8" s="14" t="s">
        <v>13</v>
      </c>
      <c r="G8" s="14" t="s">
        <v>14</v>
      </c>
      <c r="H8" s="14" t="s">
        <v>15</v>
      </c>
      <c r="I8" s="14" t="s">
        <v>16</v>
      </c>
      <c r="J8" s="14" t="s">
        <v>17</v>
      </c>
    </row>
    <row r="9" customFormat="false" ht="19.5" hidden="false" customHeight="true" outlineLevel="0" collapsed="false">
      <c r="A9" s="15" t="n">
        <f aca="false">IF(B9="","",COUNTA($B$9:B9))</f>
        <v>1</v>
      </c>
      <c r="B9" s="16" t="s">
        <v>18</v>
      </c>
      <c r="C9" s="17" t="s">
        <v>19</v>
      </c>
      <c r="D9" s="18" t="s">
        <v>20</v>
      </c>
      <c r="E9" s="19" t="n">
        <v>46127</v>
      </c>
      <c r="F9" s="20" t="n">
        <f aca="true">IF(OR(B9="",E9=""),"",E9-TODAY())</f>
        <v>-197</v>
      </c>
      <c r="G9" s="21" t="str">
        <f aca="true">IF(B9="","",IF(E9="","Date TBC",IF(E9&lt;TODAY(),"Arrived",IF(E9-TODAY()&lt;=14,"Due ≤ 14 days",IF(E9-TODAY()&lt;=30,"Due ≤ 30 days","Upcoming")))))</f>
        <v>Arrived</v>
      </c>
      <c r="H9" s="22" t="str">
        <f aca="false">IF(OR(B9="",D9=""),"",IF(D9="New position","New position",IF(COUNTIF('EoM Sheet'!$B$9:$B$108,"*"&amp;D9)=0,"Not on EoM list",IF(_xlfn.MAXIFS('EoM Sheet'!$E$9:$E$108,'EoM Sheet'!$B$9:$B$108,"*"&amp;D9)=0,"Date TBC",_xlfn.MAXIFS('EoM Sheet'!$E$9:$E$108,'EoM Sheet'!$B$9:$B$108,"*"&amp;D9)))))</f>
        <v>Date TBC</v>
      </c>
      <c r="I9" s="20" t="str">
        <f aca="false">IF(AND(ISNUMBER(E9),ISNUMBER(H9)),H9-E9,"")</f>
        <v/>
      </c>
      <c r="J9" s="17"/>
    </row>
    <row r="10" customFormat="false" ht="19.5" hidden="false" customHeight="true" outlineLevel="0" collapsed="false">
      <c r="A10" s="23" t="n">
        <f aca="false">IF(B10="","",COUNTA($B$9:B10))</f>
        <v>2</v>
      </c>
      <c r="B10" s="24" t="s">
        <v>21</v>
      </c>
      <c r="C10" s="25" t="s">
        <v>22</v>
      </c>
      <c r="D10" s="26" t="s">
        <v>23</v>
      </c>
      <c r="E10" s="27" t="n">
        <v>46139</v>
      </c>
      <c r="F10" s="28" t="n">
        <f aca="true">IF(OR(B10="",E10=""),"",E10-TODAY())</f>
        <v>-185</v>
      </c>
      <c r="G10" s="29" t="str">
        <f aca="true">IF(B10="","",IF(E10="","Date TBC",IF(E10&lt;TODAY(),"Arrived",IF(E10-TODAY()&lt;=14,"Due ≤ 14 days",IF(E10-TODAY()&lt;=30,"Due ≤ 30 days","Upcoming")))))</f>
        <v>Arrived</v>
      </c>
      <c r="H10" s="30" t="str">
        <f aca="false">IF(OR(B10="",D10=""),"",IF(D10="New position","New position",IF(COUNTIF('EoM Sheet'!$B$9:$B$108,"*"&amp;D10)=0,"Not on EoM list",IF(_xlfn.MAXIFS('EoM Sheet'!$E$9:$E$108,'EoM Sheet'!$B$9:$B$108,"*"&amp;D10)=0,"Date TBC",_xlfn.MAXIFS('EoM Sheet'!$E$9:$E$108,'EoM Sheet'!$B$9:$B$108,"*"&amp;D10)))))</f>
        <v>Date TBC</v>
      </c>
      <c r="I10" s="28" t="str">
        <f aca="false">IF(AND(ISNUMBER(E10),ISNUMBER(H10)),H10-E10,"")</f>
        <v/>
      </c>
      <c r="J10" s="25"/>
    </row>
    <row r="11" customFormat="false" ht="19.5" hidden="false" customHeight="true" outlineLevel="0" collapsed="false">
      <c r="A11" s="15" t="n">
        <f aca="false">IF(B11="","",COUNTA($B$9:B11))</f>
        <v>3</v>
      </c>
      <c r="B11" s="16" t="s">
        <v>24</v>
      </c>
      <c r="C11" s="17" t="s">
        <v>25</v>
      </c>
      <c r="D11" s="18" t="s">
        <v>26</v>
      </c>
      <c r="E11" s="19" t="n">
        <v>46138</v>
      </c>
      <c r="F11" s="20" t="n">
        <f aca="true">IF(OR(B11="",E11=""),"",E11-TODAY())</f>
        <v>-186</v>
      </c>
      <c r="G11" s="21" t="str">
        <f aca="true">IF(B11="","",IF(E11="","Date TBC",IF(E11&lt;TODAY(),"Arrived",IF(E11-TODAY()&lt;=14,"Due ≤ 14 days",IF(E11-TODAY()&lt;=30,"Due ≤ 30 days","Upcoming")))))</f>
        <v>Arrived</v>
      </c>
      <c r="H11" s="22" t="str">
        <f aca="false">IF(OR(B11="",D11=""),"",IF(D11="New position","New position",IF(COUNTIF('EoM Sheet'!$B$9:$B$108,"*"&amp;D11)=0,"Not on EoM list",IF(_xlfn.MAXIFS('EoM Sheet'!$E$9:$E$108,'EoM Sheet'!$B$9:$B$108,"*"&amp;D11)=0,"Date TBC",_xlfn.MAXIFS('EoM Sheet'!$E$9:$E$108,'EoM Sheet'!$B$9:$B$108,"*"&amp;D11)))))</f>
        <v>Date TBC</v>
      </c>
      <c r="I11" s="20" t="str">
        <f aca="false">IF(AND(ISNUMBER(E11),ISNUMBER(H11)),H11-E11,"")</f>
        <v/>
      </c>
      <c r="J11" s="17"/>
    </row>
    <row r="12" customFormat="false" ht="19.5" hidden="false" customHeight="true" outlineLevel="0" collapsed="false">
      <c r="A12" s="23" t="n">
        <f aca="false">IF(B12="","",COUNTA($B$9:B12))</f>
        <v>4</v>
      </c>
      <c r="B12" s="24" t="s">
        <v>27</v>
      </c>
      <c r="C12" s="25" t="s">
        <v>28</v>
      </c>
      <c r="D12" s="26" t="s">
        <v>29</v>
      </c>
      <c r="E12" s="27" t="n">
        <v>46165</v>
      </c>
      <c r="F12" s="28" t="n">
        <f aca="true">IF(OR(B12="",E12=""),"",E12-TODAY())</f>
        <v>-159</v>
      </c>
      <c r="G12" s="29" t="str">
        <f aca="true">IF(B12="","",IF(E12="","Date TBC",IF(E12&lt;TODAY(),"Arrived",IF(E12-TODAY()&lt;=14,"Due ≤ 14 days",IF(E12-TODAY()&lt;=30,"Due ≤ 30 days","Upcoming")))))</f>
        <v>Arrived</v>
      </c>
      <c r="H12" s="30" t="n">
        <f aca="false">IF(OR(B12="",D12=""),"",IF(D12="New position","New position",IF(COUNTIF('EoM Sheet'!$B$9:$B$108,"*"&amp;D12)=0,"Not on EoM list",IF(_xlfn.MAXIFS('EoM Sheet'!$E$9:$E$108,'EoM Sheet'!$B$9:$B$108,"*"&amp;D12)=0,"Date TBC",_xlfn.MAXIFS('EoM Sheet'!$E$9:$E$108,'EoM Sheet'!$B$9:$B$108,"*"&amp;D12)))))</f>
        <v>46175</v>
      </c>
      <c r="I12" s="28" t="n">
        <f aca="false">IF(AND(ISNUMBER(E12),ISNUMBER(H12)),H12-E12,"")</f>
        <v>10</v>
      </c>
      <c r="J12" s="25"/>
    </row>
    <row r="13" customFormat="false" ht="19.5" hidden="false" customHeight="true" outlineLevel="0" collapsed="false">
      <c r="A13" s="15" t="n">
        <f aca="false">IF(B13="","",COUNTA($B$9:B13))</f>
        <v>5</v>
      </c>
      <c r="B13" s="16" t="s">
        <v>30</v>
      </c>
      <c r="C13" s="17" t="s">
        <v>31</v>
      </c>
      <c r="D13" s="18" t="s">
        <v>32</v>
      </c>
      <c r="E13" s="19" t="n">
        <v>46167</v>
      </c>
      <c r="F13" s="20" t="n">
        <f aca="true">IF(OR(B13="",E13=""),"",E13-TODAY())</f>
        <v>-157</v>
      </c>
      <c r="G13" s="21" t="str">
        <f aca="true">IF(B13="","",IF(E13="","Date TBC",IF(E13&lt;TODAY(),"Arrived",IF(E13-TODAY()&lt;=14,"Due ≤ 14 days",IF(E13-TODAY()&lt;=30,"Due ≤ 30 days","Upcoming")))))</f>
        <v>Arrived</v>
      </c>
      <c r="H13" s="22" t="n">
        <f aca="false">IF(OR(B13="",D13=""),"",IF(D13="New position","New position",IF(COUNTIF('EoM Sheet'!$B$9:$B$108,"*"&amp;D13)=0,"Not on EoM list",IF(_xlfn.MAXIFS('EoM Sheet'!$E$9:$E$108,'EoM Sheet'!$B$9:$B$108,"*"&amp;D13)=0,"Date TBC",_xlfn.MAXIFS('EoM Sheet'!$E$9:$E$108,'EoM Sheet'!$B$9:$B$108,"*"&amp;D13)))))</f>
        <v>46177</v>
      </c>
      <c r="I13" s="20" t="n">
        <f aca="false">IF(AND(ISNUMBER(E13),ISNUMBER(H13)),H13-E13,"")</f>
        <v>10</v>
      </c>
      <c r="J13" s="17"/>
    </row>
    <row r="14" customFormat="false" ht="19.5" hidden="false" customHeight="true" outlineLevel="0" collapsed="false">
      <c r="A14" s="23" t="n">
        <f aca="false">IF(B14="","",COUNTA($B$9:B14))</f>
        <v>6</v>
      </c>
      <c r="B14" s="24" t="s">
        <v>33</v>
      </c>
      <c r="C14" s="25" t="s">
        <v>25</v>
      </c>
      <c r="D14" s="26" t="s">
        <v>34</v>
      </c>
      <c r="E14" s="27" t="n">
        <v>46181</v>
      </c>
      <c r="F14" s="28" t="n">
        <f aca="true">IF(OR(B14="",E14=""),"",E14-TODAY())</f>
        <v>-143</v>
      </c>
      <c r="G14" s="29" t="str">
        <f aca="true">IF(B14="","",IF(E14="","Date TBC",IF(E14&lt;TODAY(),"Arrived",IF(E14-TODAY()&lt;=14,"Due ≤ 14 days",IF(E14-TODAY()&lt;=30,"Due ≤ 30 days","Upcoming")))))</f>
        <v>Arrived</v>
      </c>
      <c r="H14" s="30" t="str">
        <f aca="false">IF(OR(B14="",D14=""),"",IF(D14="New position","New position",IF(COUNTIF('EoM Sheet'!$B$9:$B$108,"*"&amp;D14)=0,"Not on EoM list",IF(_xlfn.MAXIFS('EoM Sheet'!$E$9:$E$108,'EoM Sheet'!$B$9:$B$108,"*"&amp;D14)=0,"Date TBC",_xlfn.MAXIFS('EoM Sheet'!$E$9:$E$108,'EoM Sheet'!$B$9:$B$108,"*"&amp;D14)))))</f>
        <v>Date TBC</v>
      </c>
      <c r="I14" s="28" t="str">
        <f aca="false">IF(AND(ISNUMBER(E14),ISNUMBER(H14)),H14-E14,"")</f>
        <v/>
      </c>
      <c r="J14" s="25"/>
    </row>
    <row r="15" customFormat="false" ht="19.5" hidden="false" customHeight="true" outlineLevel="0" collapsed="false">
      <c r="A15" s="15" t="n">
        <f aca="false">IF(B15="","",COUNTA($B$9:B15))</f>
        <v>7</v>
      </c>
      <c r="B15" s="16" t="s">
        <v>35</v>
      </c>
      <c r="C15" s="17" t="s">
        <v>36</v>
      </c>
      <c r="D15" s="18" t="s">
        <v>37</v>
      </c>
      <c r="E15" s="19" t="n">
        <v>46216</v>
      </c>
      <c r="F15" s="20" t="n">
        <f aca="true">IF(OR(B15="",E15=""),"",E15-TODAY())</f>
        <v>-108</v>
      </c>
      <c r="G15" s="21" t="str">
        <f aca="true">IF(B15="","",IF(E15="","Date TBC",IF(E15&lt;TODAY(),"Arrived",IF(E15-TODAY()&lt;=14,"Due ≤ 14 days",IF(E15-TODAY()&lt;=30,"Due ≤ 30 days","Upcoming")))))</f>
        <v>Arrived</v>
      </c>
      <c r="H15" s="22" t="str">
        <f aca="false">IF(OR(B15="",D15=""),"",IF(D15="New position","New position",IF(COUNTIF('EoM Sheet'!$B$9:$B$108,"*"&amp;D15)=0,"Not on EoM list",IF(_xlfn.MAXIFS('EoM Sheet'!$E$9:$E$108,'EoM Sheet'!$B$9:$B$108,"*"&amp;D15)=0,"Date TBC",_xlfn.MAXIFS('EoM Sheet'!$E$9:$E$108,'EoM Sheet'!$B$9:$B$108,"*"&amp;D15)))))</f>
        <v>Date TBC</v>
      </c>
      <c r="I15" s="20" t="str">
        <f aca="false">IF(AND(ISNUMBER(E15),ISNUMBER(H15)),H15-E15,"")</f>
        <v/>
      </c>
      <c r="J15" s="17"/>
    </row>
    <row r="16" customFormat="false" ht="19.5" hidden="false" customHeight="true" outlineLevel="0" collapsed="false">
      <c r="A16" s="23" t="n">
        <f aca="false">IF(B16="","",COUNTA($B$9:B16))</f>
        <v>8</v>
      </c>
      <c r="B16" s="24" t="s">
        <v>38</v>
      </c>
      <c r="C16" s="25" t="s">
        <v>39</v>
      </c>
      <c r="D16" s="26" t="s">
        <v>40</v>
      </c>
      <c r="E16" s="27" t="n">
        <v>46221</v>
      </c>
      <c r="F16" s="28" t="n">
        <f aca="true">IF(OR(B16="",E16=""),"",E16-TODAY())</f>
        <v>-103</v>
      </c>
      <c r="G16" s="29" t="str">
        <f aca="true">IF(B16="","",IF(E16="","Date TBC",IF(E16&lt;TODAY(),"Arrived",IF(E16-TODAY()&lt;=14,"Due ≤ 14 days",IF(E16-TODAY()&lt;=30,"Due ≤ 30 days","Upcoming")))))</f>
        <v>Arrived</v>
      </c>
      <c r="H16" s="30" t="n">
        <f aca="false">IF(OR(B16="",D16=""),"",IF(D16="New position","New position",IF(COUNTIF('EoM Sheet'!$B$9:$B$108,"*"&amp;D16)=0,"Not on EoM list",IF(_xlfn.MAXIFS('EoM Sheet'!$E$9:$E$108,'EoM Sheet'!$B$9:$B$108,"*"&amp;D16)=0,"Date TBC",_xlfn.MAXIFS('EoM Sheet'!$E$9:$E$108,'EoM Sheet'!$B$9:$B$108,"*"&amp;D16)))))</f>
        <v>46237</v>
      </c>
      <c r="I16" s="28" t="n">
        <f aca="false">IF(AND(ISNUMBER(E16),ISNUMBER(H16)),H16-E16,"")</f>
        <v>16</v>
      </c>
      <c r="J16" s="25"/>
    </row>
    <row r="17" customFormat="false" ht="19.5" hidden="false" customHeight="true" outlineLevel="0" collapsed="false">
      <c r="A17" s="15" t="n">
        <f aca="false">IF(B17="","",COUNTA($B$9:B17))</f>
        <v>9</v>
      </c>
      <c r="B17" s="16" t="s">
        <v>41</v>
      </c>
      <c r="C17" s="17" t="s">
        <v>42</v>
      </c>
      <c r="D17" s="18" t="s">
        <v>43</v>
      </c>
      <c r="E17" s="19" t="n">
        <v>46223</v>
      </c>
      <c r="F17" s="20" t="n">
        <f aca="true">IF(OR(B17="",E17=""),"",E17-TODAY())</f>
        <v>-101</v>
      </c>
      <c r="G17" s="21" t="str">
        <f aca="true">IF(B17="","",IF(E17="","Date TBC",IF(E17&lt;TODAY(),"Arrived",IF(E17-TODAY()&lt;=14,"Due ≤ 14 days",IF(E17-TODAY()&lt;=30,"Due ≤ 30 days","Upcoming")))))</f>
        <v>Arrived</v>
      </c>
      <c r="H17" s="22" t="n">
        <f aca="false">IF(OR(B17="",D17=""),"",IF(D17="New position","New position",IF(COUNTIF('EoM Sheet'!$B$9:$B$108,"*"&amp;D17)=0,"Not on EoM list",IF(_xlfn.MAXIFS('EoM Sheet'!$E$9:$E$108,'EoM Sheet'!$B$9:$B$108,"*"&amp;D17)=0,"Date TBC",_xlfn.MAXIFS('EoM Sheet'!$E$9:$E$108,'EoM Sheet'!$B$9:$B$108,"*"&amp;D17)))))</f>
        <v>46232</v>
      </c>
      <c r="I17" s="20" t="n">
        <f aca="false">IF(AND(ISNUMBER(E17),ISNUMBER(H17)),H17-E17,"")</f>
        <v>9</v>
      </c>
      <c r="J17" s="17"/>
    </row>
    <row r="18" customFormat="false" ht="19.5" hidden="false" customHeight="true" outlineLevel="0" collapsed="false">
      <c r="A18" s="23" t="n">
        <f aca="false">IF(B18="","",COUNTA($B$9:B18))</f>
        <v>10</v>
      </c>
      <c r="B18" s="24" t="s">
        <v>44</v>
      </c>
      <c r="C18" s="25" t="s">
        <v>45</v>
      </c>
      <c r="D18" s="26" t="s">
        <v>46</v>
      </c>
      <c r="E18" s="27" t="n">
        <v>46228</v>
      </c>
      <c r="F18" s="28" t="n">
        <f aca="true">IF(OR(B18="",E18=""),"",E18-TODAY())</f>
        <v>-96</v>
      </c>
      <c r="G18" s="29" t="str">
        <f aca="true">IF(B18="","",IF(E18="","Date TBC",IF(E18&lt;TODAY(),"Arrived",IF(E18-TODAY()&lt;=14,"Due ≤ 14 days",IF(E18-TODAY()&lt;=30,"Due ≤ 30 days","Upcoming")))))</f>
        <v>Arrived</v>
      </c>
      <c r="H18" s="30" t="n">
        <f aca="false">IF(OR(B18="",D18=""),"",IF(D18="New position","New position",IF(COUNTIF('EoM Sheet'!$B$9:$B$108,"*"&amp;D18)=0,"Not on EoM list",IF(_xlfn.MAXIFS('EoM Sheet'!$E$9:$E$108,'EoM Sheet'!$B$9:$B$108,"*"&amp;D18)=0,"Date TBC",_xlfn.MAXIFS('EoM Sheet'!$E$9:$E$108,'EoM Sheet'!$B$9:$B$108,"*"&amp;D18)))))</f>
        <v>46234</v>
      </c>
      <c r="I18" s="28" t="n">
        <f aca="false">IF(AND(ISNUMBER(E18),ISNUMBER(H18)),H18-E18,"")</f>
        <v>6</v>
      </c>
      <c r="J18" s="25"/>
    </row>
    <row r="19" customFormat="false" ht="19.5" hidden="false" customHeight="true" outlineLevel="0" collapsed="false">
      <c r="A19" s="15" t="n">
        <f aca="false">IF(B19="","",COUNTA($B$9:B19))</f>
        <v>11</v>
      </c>
      <c r="B19" s="16" t="s">
        <v>47</v>
      </c>
      <c r="C19" s="17" t="s">
        <v>48</v>
      </c>
      <c r="D19" s="18" t="s">
        <v>49</v>
      </c>
      <c r="E19" s="19" t="n">
        <v>46257</v>
      </c>
      <c r="F19" s="20" t="n">
        <f aca="true">IF(OR(B19="",E19=""),"",E19-TODAY())</f>
        <v>-67</v>
      </c>
      <c r="G19" s="21" t="str">
        <f aca="true">IF(B19="","",IF(E19="","Date TBC",IF(E19&lt;TODAY(),"Arrived",IF(E19-TODAY()&lt;=14,"Due ≤ 14 days",IF(E19-TODAY()&lt;=30,"Due ≤ 30 days","Upcoming")))))</f>
        <v>Arrived</v>
      </c>
      <c r="H19" s="22" t="n">
        <f aca="false">IF(OR(B19="",D19=""),"",IF(D19="New position","New position",IF(COUNTIF('EoM Sheet'!$B$9:$B$108,"*"&amp;D19)=0,"Not on EoM list",IF(_xlfn.MAXIFS('EoM Sheet'!$E$9:$E$108,'EoM Sheet'!$B$9:$B$108,"*"&amp;D19)=0,"Date TBC",_xlfn.MAXIFS('EoM Sheet'!$E$9:$E$108,'EoM Sheet'!$B$9:$B$108,"*"&amp;D19)))))</f>
        <v>46257</v>
      </c>
      <c r="I19" s="20" t="n">
        <f aca="false">IF(AND(ISNUMBER(E19),ISNUMBER(H19)),H19-E19,"")</f>
        <v>0</v>
      </c>
      <c r="J19" s="17"/>
    </row>
    <row r="20" customFormat="false" ht="19.5" hidden="false" customHeight="true" outlineLevel="0" collapsed="false">
      <c r="A20" s="23" t="n">
        <f aca="false">IF(B20="","",COUNTA($B$9:B20))</f>
        <v>12</v>
      </c>
      <c r="B20" s="24" t="s">
        <v>50</v>
      </c>
      <c r="C20" s="25" t="s">
        <v>51</v>
      </c>
      <c r="D20" s="26" t="s">
        <v>52</v>
      </c>
      <c r="E20" s="27" t="n">
        <v>46236</v>
      </c>
      <c r="F20" s="28" t="n">
        <f aca="true">IF(OR(B20="",E20=""),"",E20-TODAY())</f>
        <v>-88</v>
      </c>
      <c r="G20" s="29" t="str">
        <f aca="true">IF(B20="","",IF(E20="","Date TBC",IF(E20&lt;TODAY(),"Arrived",IF(E20-TODAY()&lt;=14,"Due ≤ 14 days",IF(E20-TODAY()&lt;=30,"Due ≤ 30 days","Upcoming")))))</f>
        <v>Arrived</v>
      </c>
      <c r="H20" s="30" t="str">
        <f aca="false">IF(OR(B20="",D20=""),"",IF(D20="New position","New position",IF(COUNTIF('EoM Sheet'!$B$9:$B$108,"*"&amp;D20)=0,"Not on EoM list",IF(_xlfn.MAXIFS('EoM Sheet'!$E$9:$E$108,'EoM Sheet'!$B$9:$B$108,"*"&amp;D20)=0,"Date TBC",_xlfn.MAXIFS('EoM Sheet'!$E$9:$E$108,'EoM Sheet'!$B$9:$B$108,"*"&amp;D20)))))</f>
        <v>Date TBC</v>
      </c>
      <c r="I20" s="28" t="str">
        <f aca="false">IF(AND(ISNUMBER(E20),ISNUMBER(H20)),H20-E20,"")</f>
        <v/>
      </c>
      <c r="J20" s="25"/>
    </row>
    <row r="21" customFormat="false" ht="19.5" hidden="false" customHeight="true" outlineLevel="0" collapsed="false">
      <c r="A21" s="15" t="n">
        <f aca="false">IF(B21="","",COUNTA($B$9:B21))</f>
        <v>13</v>
      </c>
      <c r="B21" s="16" t="s">
        <v>53</v>
      </c>
      <c r="C21" s="17" t="s">
        <v>54</v>
      </c>
      <c r="D21" s="18" t="s">
        <v>55</v>
      </c>
      <c r="E21" s="19" t="n">
        <v>46266</v>
      </c>
      <c r="F21" s="20" t="n">
        <f aca="true">IF(OR(B21="",E21=""),"",E21-TODAY())</f>
        <v>-58</v>
      </c>
      <c r="G21" s="21" t="str">
        <f aca="true">IF(B21="","",IF(E21="","Date TBC",IF(E21&lt;TODAY(),"Arrived",IF(E21-TODAY()&lt;=14,"Due ≤ 14 days",IF(E21-TODAY()&lt;=30,"Due ≤ 30 days","Upcoming")))))</f>
        <v>Arrived</v>
      </c>
      <c r="H21" s="22" t="str">
        <f aca="false">IF(OR(B21="",D21=""),"",IF(D21="New position","New position",IF(COUNTIF('EoM Sheet'!$B$9:$B$108,"*"&amp;D21)=0,"Not on EoM list",IF(_xlfn.MAXIFS('EoM Sheet'!$E$9:$E$108,'EoM Sheet'!$B$9:$B$108,"*"&amp;D21)=0,"Date TBC",_xlfn.MAXIFS('EoM Sheet'!$E$9:$E$108,'EoM Sheet'!$B$9:$B$108,"*"&amp;D21)))))</f>
        <v>Date TBC</v>
      </c>
      <c r="I21" s="20" t="str">
        <f aca="false">IF(AND(ISNUMBER(E21),ISNUMBER(H21)),H21-E21,"")</f>
        <v/>
      </c>
      <c r="J21" s="17"/>
    </row>
    <row r="22" customFormat="false" ht="19.5" hidden="false" customHeight="true" outlineLevel="0" collapsed="false">
      <c r="A22" s="23" t="n">
        <f aca="false">IF(B22="","",COUNTA($B$9:B22))</f>
        <v>14</v>
      </c>
      <c r="B22" s="24" t="s">
        <v>56</v>
      </c>
      <c r="C22" s="25" t="s">
        <v>57</v>
      </c>
      <c r="D22" s="26" t="s">
        <v>58</v>
      </c>
      <c r="E22" s="27" t="n">
        <v>46266</v>
      </c>
      <c r="F22" s="28" t="n">
        <f aca="true">IF(OR(B22="",E22=""),"",E22-TODAY())</f>
        <v>-58</v>
      </c>
      <c r="G22" s="29" t="str">
        <f aca="true">IF(B22="","",IF(E22="","Date TBC",IF(E22&lt;TODAY(),"Arrived",IF(E22-TODAY()&lt;=14,"Due ≤ 14 days",IF(E22-TODAY()&lt;=30,"Due ≤ 30 days","Upcoming")))))</f>
        <v>Arrived</v>
      </c>
      <c r="H22" s="30" t="str">
        <f aca="false">IF(OR(B22="",D22=""),"",IF(D22="New position","New position",IF(COUNTIF('EoM Sheet'!$B$9:$B$108,"*"&amp;D22)=0,"Not on EoM list",IF(_xlfn.MAXIFS('EoM Sheet'!$E$9:$E$108,'EoM Sheet'!$B$9:$B$108,"*"&amp;D22)=0,"Date TBC",_xlfn.MAXIFS('EoM Sheet'!$E$9:$E$108,'EoM Sheet'!$B$9:$B$108,"*"&amp;D22)))))</f>
        <v>Not on EoM list</v>
      </c>
      <c r="I22" s="28" t="str">
        <f aca="false">IF(AND(ISNUMBER(E22),ISNUMBER(H22)),H22-E22,"")</f>
        <v/>
      </c>
      <c r="J22" s="25"/>
    </row>
    <row r="23" customFormat="false" ht="19.5" hidden="false" customHeight="true" outlineLevel="0" collapsed="false">
      <c r="A23" s="15" t="n">
        <f aca="false">IF(B23="","",COUNTA($B$9:B23))</f>
        <v>15</v>
      </c>
      <c r="B23" s="16" t="s">
        <v>59</v>
      </c>
      <c r="C23" s="17" t="s">
        <v>60</v>
      </c>
      <c r="D23" s="18" t="s">
        <v>61</v>
      </c>
      <c r="E23" s="19" t="n">
        <v>46272</v>
      </c>
      <c r="F23" s="20" t="n">
        <f aca="true">IF(OR(B23="",E23=""),"",E23-TODAY())</f>
        <v>-52</v>
      </c>
      <c r="G23" s="21" t="str">
        <f aca="true">IF(B23="","",IF(E23="","Date TBC",IF(E23&lt;TODAY(),"Arrived",IF(E23-TODAY()&lt;=14,"Due ≤ 14 days",IF(E23-TODAY()&lt;=30,"Due ≤ 30 days","Upcoming")))))</f>
        <v>Arrived</v>
      </c>
      <c r="H23" s="22" t="n">
        <f aca="false">IF(OR(B23="",D23=""),"",IF(D23="New position","New position",IF(COUNTIF('EoM Sheet'!$B$9:$B$108,"*"&amp;D23)=0,"Not on EoM list",IF(_xlfn.MAXIFS('EoM Sheet'!$E$9:$E$108,'EoM Sheet'!$B$9:$B$108,"*"&amp;D23)=0,"Date TBC",_xlfn.MAXIFS('EoM Sheet'!$E$9:$E$108,'EoM Sheet'!$B$9:$B$108,"*"&amp;D23)))))</f>
        <v>46284</v>
      </c>
      <c r="I23" s="20" t="n">
        <f aca="false">IF(AND(ISNUMBER(E23),ISNUMBER(H23)),H23-E23,"")</f>
        <v>12</v>
      </c>
      <c r="J23" s="17"/>
    </row>
    <row r="24" customFormat="false" ht="19.5" hidden="false" customHeight="true" outlineLevel="0" collapsed="false">
      <c r="A24" s="23" t="n">
        <f aca="false">IF(B24="","",COUNTA($B$9:B24))</f>
        <v>16</v>
      </c>
      <c r="B24" s="24" t="s">
        <v>62</v>
      </c>
      <c r="C24" s="25" t="s">
        <v>63</v>
      </c>
      <c r="D24" s="26" t="s">
        <v>64</v>
      </c>
      <c r="E24" s="27" t="n">
        <v>46300</v>
      </c>
      <c r="F24" s="28" t="n">
        <f aca="true">IF(OR(B24="",E24=""),"",E24-TODAY())</f>
        <v>-24</v>
      </c>
      <c r="G24" s="29" t="str">
        <f aca="true">IF(B24="","",IF(E24="","Date TBC",IF(E24&lt;TODAY(),"Arrived",IF(E24-TODAY()&lt;=14,"Due ≤ 14 days",IF(E24-TODAY()&lt;=30,"Due ≤ 30 days","Upcoming")))))</f>
        <v>Arrived</v>
      </c>
      <c r="H24" s="30" t="str">
        <f aca="false">IF(OR(B24="",D24=""),"",IF(D24="New position","New position",IF(COUNTIF('EoM Sheet'!$B$9:$B$108,"*"&amp;D24)=0,"Not on EoM list",IF(_xlfn.MAXIFS('EoM Sheet'!$E$9:$E$108,'EoM Sheet'!$B$9:$B$108,"*"&amp;D24)=0,"Date TBC",_xlfn.MAXIFS('EoM Sheet'!$E$9:$E$108,'EoM Sheet'!$B$9:$B$108,"*"&amp;D24)))))</f>
        <v>New position</v>
      </c>
      <c r="I24" s="28" t="str">
        <f aca="false">IF(AND(ISNUMBER(E24),ISNUMBER(H24)),H24-E24,"")</f>
        <v/>
      </c>
      <c r="J24" s="25"/>
    </row>
    <row r="25" customFormat="false" ht="19.5" hidden="false" customHeight="true" outlineLevel="0" collapsed="false">
      <c r="A25" s="15" t="n">
        <f aca="false">IF(B25="","",COUNTA($B$9:B25))</f>
        <v>17</v>
      </c>
      <c r="B25" s="16" t="s">
        <v>65</v>
      </c>
      <c r="C25" s="17" t="s">
        <v>66</v>
      </c>
      <c r="D25" s="18" t="s">
        <v>67</v>
      </c>
      <c r="E25" s="19" t="n">
        <v>46313</v>
      </c>
      <c r="F25" s="20" t="n">
        <f aca="true">IF(OR(B25="",E25=""),"",E25-TODAY())</f>
        <v>-11</v>
      </c>
      <c r="G25" s="21" t="str">
        <f aca="true">IF(B25="","",IF(E25="","Date TBC",IF(E25&lt;TODAY(),"Arrived",IF(E25-TODAY()&lt;=14,"Due ≤ 14 days",IF(E25-TODAY()&lt;=30,"Due ≤ 30 days","Upcoming")))))</f>
        <v>Arrived</v>
      </c>
      <c r="H25" s="22" t="n">
        <f aca="false">IF(OR(B25="",D25=""),"",IF(D25="New position","New position",IF(COUNTIF('EoM Sheet'!$B$9:$B$108,"*"&amp;D25)=0,"Not on EoM list",IF(_xlfn.MAXIFS('EoM Sheet'!$E$9:$E$108,'EoM Sheet'!$B$9:$B$108,"*"&amp;D25)=0,"Date TBC",_xlfn.MAXIFS('EoM Sheet'!$E$9:$E$108,'EoM Sheet'!$B$9:$B$108,"*"&amp;D25)))))</f>
        <v>46313</v>
      </c>
      <c r="I25" s="20" t="n">
        <f aca="false">IF(AND(ISNUMBER(E25),ISNUMBER(H25)),H25-E25,"")</f>
        <v>0</v>
      </c>
      <c r="J25" s="17"/>
    </row>
    <row r="26" customFormat="false" ht="19.5" hidden="false" customHeight="true" outlineLevel="0" collapsed="false">
      <c r="A26" s="23" t="n">
        <f aca="false">IF(B26="","",COUNTA($B$9:B26))</f>
        <v>18</v>
      </c>
      <c r="B26" s="24" t="s">
        <v>68</v>
      </c>
      <c r="C26" s="25" t="s">
        <v>69</v>
      </c>
      <c r="D26" s="26" t="s">
        <v>70</v>
      </c>
      <c r="E26" s="27" t="n">
        <v>46314</v>
      </c>
      <c r="F26" s="28" t="n">
        <f aca="true">IF(OR(B26="",E26=""),"",E26-TODAY())</f>
        <v>-10</v>
      </c>
      <c r="G26" s="29" t="str">
        <f aca="true">IF(B26="","",IF(E26="","Date TBC",IF(E26&lt;TODAY(),"Arrived",IF(E26-TODAY()&lt;=14,"Due ≤ 14 days",IF(E26-TODAY()&lt;=30,"Due ≤ 30 days","Upcoming")))))</f>
        <v>Arrived</v>
      </c>
      <c r="H26" s="30" t="n">
        <f aca="false">IF(OR(B26="",D26=""),"",IF(D26="New position","New position",IF(COUNTIF('EoM Sheet'!$B$9:$B$108,"*"&amp;D26)=0,"Not on EoM list",IF(_xlfn.MAXIFS('EoM Sheet'!$E$9:$E$108,'EoM Sheet'!$B$9:$B$108,"*"&amp;D26)=0,"Date TBC",_xlfn.MAXIFS('EoM Sheet'!$E$9:$E$108,'EoM Sheet'!$B$9:$B$108,"*"&amp;D26)))))</f>
        <v>46314</v>
      </c>
      <c r="I26" s="28" t="n">
        <f aca="false">IF(AND(ISNUMBER(E26),ISNUMBER(H26)),H26-E26,"")</f>
        <v>0</v>
      </c>
      <c r="J26" s="25"/>
    </row>
    <row r="27" customFormat="false" ht="19.5" hidden="false" customHeight="true" outlineLevel="0" collapsed="false">
      <c r="A27" s="15" t="n">
        <f aca="false">IF(B27="","",COUNTA($B$9:B27))</f>
        <v>19</v>
      </c>
      <c r="B27" s="16" t="s">
        <v>71</v>
      </c>
      <c r="C27" s="17" t="s">
        <v>72</v>
      </c>
      <c r="D27" s="18" t="s">
        <v>73</v>
      </c>
      <c r="E27" s="19" t="n">
        <v>46328</v>
      </c>
      <c r="F27" s="20" t="n">
        <f aca="true">IF(OR(B27="",E27=""),"",E27-TODAY())</f>
        <v>4</v>
      </c>
      <c r="G27" s="21" t="str">
        <f aca="true">IF(B27="","",IF(E27="","Date TBC",IF(E27&lt;TODAY(),"Arrived",IF(E27-TODAY()&lt;=14,"Due ≤ 14 days",IF(E27-TODAY()&lt;=30,"Due ≤ 30 days","Upcoming")))))</f>
        <v>Due ≤ 14 days</v>
      </c>
      <c r="H27" s="22" t="n">
        <f aca="false">IF(OR(B27="",D27=""),"",IF(D27="New position","New position",IF(COUNTIF('EoM Sheet'!$B$9:$B$108,"*"&amp;D27)=0,"Not on EoM list",IF(_xlfn.MAXIFS('EoM Sheet'!$E$9:$E$108,'EoM Sheet'!$B$9:$B$108,"*"&amp;D27)=0,"Date TBC",_xlfn.MAXIFS('EoM Sheet'!$E$9:$E$108,'EoM Sheet'!$B$9:$B$108,"*"&amp;D27)))))</f>
        <v>46328</v>
      </c>
      <c r="I27" s="20" t="n">
        <f aca="false">IF(AND(ISNUMBER(E27),ISNUMBER(H27)),H27-E27,"")</f>
        <v>0</v>
      </c>
      <c r="J27" s="17"/>
    </row>
    <row r="28" customFormat="false" ht="19.5" hidden="false" customHeight="true" outlineLevel="0" collapsed="false">
      <c r="A28" s="23" t="n">
        <f aca="false">IF(B28="","",COUNTA($B$9:B28))</f>
        <v>20</v>
      </c>
      <c r="B28" s="24" t="s">
        <v>74</v>
      </c>
      <c r="C28" s="25" t="s">
        <v>25</v>
      </c>
      <c r="D28" s="26" t="s">
        <v>75</v>
      </c>
      <c r="E28" s="27" t="n">
        <v>46398</v>
      </c>
      <c r="F28" s="28" t="n">
        <f aca="true">IF(OR(B28="",E28=""),"",E28-TODAY())</f>
        <v>74</v>
      </c>
      <c r="G28" s="29" t="str">
        <f aca="true">IF(B28="","",IF(E28="","Date TBC",IF(E28&lt;TODAY(),"Arrived",IF(E28-TODAY()&lt;=14,"Due ≤ 14 days",IF(E28-TODAY()&lt;=30,"Due ≤ 30 days","Upcoming")))))</f>
        <v>Upcoming</v>
      </c>
      <c r="H28" s="30" t="n">
        <f aca="false">IF(OR(B28="",D28=""),"",IF(D28="New position","New position",IF(COUNTIF('EoM Sheet'!$B$9:$B$108,"*"&amp;D28)=0,"Not on EoM list",IF(_xlfn.MAXIFS('EoM Sheet'!$E$9:$E$108,'EoM Sheet'!$B$9:$B$108,"*"&amp;D28)=0,"Date TBC",_xlfn.MAXIFS('EoM Sheet'!$E$9:$E$108,'EoM Sheet'!$B$9:$B$108,"*"&amp;D28)))))</f>
        <v>46398</v>
      </c>
      <c r="I28" s="28" t="n">
        <f aca="false">IF(AND(ISNUMBER(E28),ISNUMBER(H28)),H28-E28,"")</f>
        <v>0</v>
      </c>
      <c r="J28" s="25"/>
    </row>
    <row r="29" customFormat="false" ht="19.5" hidden="false" customHeight="true" outlineLevel="0" collapsed="false">
      <c r="A29" s="15" t="n">
        <f aca="false">IF(B29="","",COUNTA($B$9:B29))</f>
        <v>21</v>
      </c>
      <c r="B29" s="16" t="s">
        <v>76</v>
      </c>
      <c r="C29" s="17" t="s">
        <v>77</v>
      </c>
      <c r="D29" s="18" t="s">
        <v>78</v>
      </c>
      <c r="E29" s="19" t="n">
        <v>46470</v>
      </c>
      <c r="F29" s="20" t="n">
        <f aca="true">IF(OR(B29="",E29=""),"",E29-TODAY())</f>
        <v>146</v>
      </c>
      <c r="G29" s="21" t="str">
        <f aca="true">IF(B29="","",IF(E29="","Date TBC",IF(E29&lt;TODAY(),"Arrived",IF(E29-TODAY()&lt;=14,"Due ≤ 14 days",IF(E29-TODAY()&lt;=30,"Due ≤ 30 days","Upcoming")))))</f>
        <v>Upcoming</v>
      </c>
      <c r="H29" s="22" t="n">
        <f aca="false">IF(OR(B29="",D29=""),"",IF(D29="New position","New position",IF(COUNTIF('EoM Sheet'!$B$9:$B$108,"*"&amp;D29)=0,"Not on EoM list",IF(_xlfn.MAXIFS('EoM Sheet'!$E$9:$E$108,'EoM Sheet'!$B$9:$B$108,"*"&amp;D29)=0,"Date TBC",_xlfn.MAXIFS('EoM Sheet'!$E$9:$E$108,'EoM Sheet'!$B$9:$B$108,"*"&amp;D29)))))</f>
        <v>46470</v>
      </c>
      <c r="I29" s="20" t="n">
        <f aca="false">IF(AND(ISNUMBER(E29),ISNUMBER(H29)),H29-E29,"")</f>
        <v>0</v>
      </c>
      <c r="J29" s="17"/>
    </row>
    <row r="30" customFormat="false" ht="19.5" hidden="false" customHeight="true" outlineLevel="0" collapsed="false">
      <c r="A30" s="23" t="n">
        <f aca="false">IF(B30="","",COUNTA($B$9:B30))</f>
        <v>22</v>
      </c>
      <c r="B30" s="24" t="s">
        <v>79</v>
      </c>
      <c r="C30" s="25" t="s">
        <v>80</v>
      </c>
      <c r="D30" s="26" t="s">
        <v>81</v>
      </c>
      <c r="E30" s="27" t="n">
        <v>46371</v>
      </c>
      <c r="F30" s="28" t="n">
        <f aca="true">IF(OR(B30="",E30=""),"",E30-TODAY())</f>
        <v>47</v>
      </c>
      <c r="G30" s="29" t="str">
        <f aca="true">IF(B30="","",IF(E30="","Date TBC",IF(E30&lt;TODAY(),"Arrived",IF(E30-TODAY()&lt;=14,"Due ≤ 14 days",IF(E30-TODAY()&lt;=30,"Due ≤ 30 days","Upcoming")))))</f>
        <v>Upcoming</v>
      </c>
      <c r="H30" s="30" t="str">
        <f aca="false">IF(OR(B30="",D30=""),"",IF(D30="New position","New position",IF(COUNTIF('EoM Sheet'!$B$9:$B$108,"*"&amp;D30)=0,"Not on EoM list",IF(_xlfn.MAXIFS('EoM Sheet'!$E$9:$E$108,'EoM Sheet'!$B$9:$B$108,"*"&amp;D30)=0,"Date TBC",_xlfn.MAXIFS('EoM Sheet'!$E$9:$E$108,'EoM Sheet'!$B$9:$B$108,"*"&amp;D30)))))</f>
        <v>Not on EoM list</v>
      </c>
      <c r="I30" s="28" t="str">
        <f aca="false">IF(AND(ISNUMBER(E30),ISNUMBER(H30)),H30-E30,"")</f>
        <v/>
      </c>
      <c r="J30" s="25"/>
    </row>
    <row r="31" customFormat="false" ht="19.5" hidden="false" customHeight="true" outlineLevel="0" collapsed="false">
      <c r="A31" s="15" t="str">
        <f aca="false">IF(B31="","",COUNTA($B$9:B31))</f>
        <v/>
      </c>
      <c r="B31" s="16"/>
      <c r="C31" s="17"/>
      <c r="D31" s="18"/>
      <c r="E31" s="19"/>
      <c r="F31" s="20" t="str">
        <f aca="true">IF(OR(B31="",E31=""),"",E31-TODAY())</f>
        <v/>
      </c>
      <c r="G31" s="21" t="str">
        <f aca="true">IF(B31="","",IF(E31="","Date TBC",IF(E31&lt;TODAY(),"Arrived",IF(E31-TODAY()&lt;=14,"Due ≤ 14 days",IF(E31-TODAY()&lt;=30,"Due ≤ 30 days","Upcoming")))))</f>
        <v/>
      </c>
      <c r="H31" s="22" t="str">
        <f aca="false">IF(OR(B31="",D31=""),"",IF(D31="New position","New position",IF(COUNTIF('EoM Sheet'!$B$9:$B$108,"*"&amp;D31)=0,"Not on EoM list",IF(_xlfn.MAXIFS('EoM Sheet'!$E$9:$E$108,'EoM Sheet'!$B$9:$B$108,"*"&amp;D31)=0,"Date TBC",_xlfn.MAXIFS('EoM Sheet'!$E$9:$E$108,'EoM Sheet'!$B$9:$B$108,"*"&amp;D31)))))</f>
        <v/>
      </c>
      <c r="I31" s="20" t="str">
        <f aca="false">IF(AND(ISNUMBER(E31),ISNUMBER(H31)),H31-E31,"")</f>
        <v/>
      </c>
      <c r="J31" s="17"/>
    </row>
    <row r="32" customFormat="false" ht="19.5" hidden="false" customHeight="true" outlineLevel="0" collapsed="false">
      <c r="A32" s="23" t="str">
        <f aca="false">IF(B32="","",COUNTA($B$9:B32))</f>
        <v/>
      </c>
      <c r="B32" s="24"/>
      <c r="C32" s="25"/>
      <c r="D32" s="26"/>
      <c r="E32" s="27"/>
      <c r="F32" s="28" t="str">
        <f aca="true">IF(OR(B32="",E32=""),"",E32-TODAY())</f>
        <v/>
      </c>
      <c r="G32" s="29" t="str">
        <f aca="true">IF(B32="","",IF(E32="","Date TBC",IF(E32&lt;TODAY(),"Arrived",IF(E32-TODAY()&lt;=14,"Due ≤ 14 days",IF(E32-TODAY()&lt;=30,"Due ≤ 30 days","Upcoming")))))</f>
        <v/>
      </c>
      <c r="H32" s="30" t="str">
        <f aca="false">IF(OR(B32="",D32=""),"",IF(D32="New position","New position",IF(COUNTIF('EoM Sheet'!$B$9:$B$108,"*"&amp;D32)=0,"Not on EoM list",IF(_xlfn.MAXIFS('EoM Sheet'!$E$9:$E$108,'EoM Sheet'!$B$9:$B$108,"*"&amp;D32)=0,"Date TBC",_xlfn.MAXIFS('EoM Sheet'!$E$9:$E$108,'EoM Sheet'!$B$9:$B$108,"*"&amp;D32)))))</f>
        <v/>
      </c>
      <c r="I32" s="28" t="str">
        <f aca="false">IF(AND(ISNUMBER(E32),ISNUMBER(H32)),H32-E32,"")</f>
        <v/>
      </c>
      <c r="J32" s="25"/>
    </row>
    <row r="33" customFormat="false" ht="19.5" hidden="false" customHeight="true" outlineLevel="0" collapsed="false">
      <c r="A33" s="15" t="str">
        <f aca="false">IF(B33="","",COUNTA($B$9:B33))</f>
        <v/>
      </c>
      <c r="B33" s="16"/>
      <c r="C33" s="17"/>
      <c r="D33" s="18"/>
      <c r="E33" s="19"/>
      <c r="F33" s="20" t="str">
        <f aca="true">IF(OR(B33="",E33=""),"",E33-TODAY())</f>
        <v/>
      </c>
      <c r="G33" s="21" t="str">
        <f aca="true">IF(B33="","",IF(E33="","Date TBC",IF(E33&lt;TODAY(),"Arrived",IF(E33-TODAY()&lt;=14,"Due ≤ 14 days",IF(E33-TODAY()&lt;=30,"Due ≤ 30 days","Upcoming")))))</f>
        <v/>
      </c>
      <c r="H33" s="22" t="str">
        <f aca="false">IF(OR(B33="",D33=""),"",IF(D33="New position","New position",IF(COUNTIF('EoM Sheet'!$B$9:$B$108,"*"&amp;D33)=0,"Not on EoM list",IF(_xlfn.MAXIFS('EoM Sheet'!$E$9:$E$108,'EoM Sheet'!$B$9:$B$108,"*"&amp;D33)=0,"Date TBC",_xlfn.MAXIFS('EoM Sheet'!$E$9:$E$108,'EoM Sheet'!$B$9:$B$108,"*"&amp;D33)))))</f>
        <v/>
      </c>
      <c r="I33" s="20" t="str">
        <f aca="false">IF(AND(ISNUMBER(E33),ISNUMBER(H33)),H33-E33,"")</f>
        <v/>
      </c>
      <c r="J33" s="17"/>
    </row>
    <row r="34" customFormat="false" ht="19.5" hidden="false" customHeight="true" outlineLevel="0" collapsed="false">
      <c r="A34" s="23" t="str">
        <f aca="false">IF(B34="","",COUNTA($B$9:B34))</f>
        <v/>
      </c>
      <c r="B34" s="24"/>
      <c r="C34" s="25"/>
      <c r="D34" s="26"/>
      <c r="E34" s="27"/>
      <c r="F34" s="28" t="str">
        <f aca="true">IF(OR(B34="",E34=""),"",E34-TODAY())</f>
        <v/>
      </c>
      <c r="G34" s="29" t="str">
        <f aca="true">IF(B34="","",IF(E34="","Date TBC",IF(E34&lt;TODAY(),"Arrived",IF(E34-TODAY()&lt;=14,"Due ≤ 14 days",IF(E34-TODAY()&lt;=30,"Due ≤ 30 days","Upcoming")))))</f>
        <v/>
      </c>
      <c r="H34" s="30" t="str">
        <f aca="false">IF(OR(B34="",D34=""),"",IF(D34="New position","New position",IF(COUNTIF('EoM Sheet'!$B$9:$B$108,"*"&amp;D34)=0,"Not on EoM list",IF(_xlfn.MAXIFS('EoM Sheet'!$E$9:$E$108,'EoM Sheet'!$B$9:$B$108,"*"&amp;D34)=0,"Date TBC",_xlfn.MAXIFS('EoM Sheet'!$E$9:$E$108,'EoM Sheet'!$B$9:$B$108,"*"&amp;D34)))))</f>
        <v/>
      </c>
      <c r="I34" s="28" t="str">
        <f aca="false">IF(AND(ISNUMBER(E34),ISNUMBER(H34)),H34-E34,"")</f>
        <v/>
      </c>
      <c r="J34" s="25"/>
    </row>
    <row r="35" customFormat="false" ht="19.5" hidden="false" customHeight="true" outlineLevel="0" collapsed="false">
      <c r="A35" s="15" t="str">
        <f aca="false">IF(B35="","",COUNTA($B$9:B35))</f>
        <v/>
      </c>
      <c r="B35" s="16"/>
      <c r="C35" s="17"/>
      <c r="D35" s="18"/>
      <c r="E35" s="19"/>
      <c r="F35" s="20" t="str">
        <f aca="true">IF(OR(B35="",E35=""),"",E35-TODAY())</f>
        <v/>
      </c>
      <c r="G35" s="21" t="str">
        <f aca="true">IF(B35="","",IF(E35="","Date TBC",IF(E35&lt;TODAY(),"Arrived",IF(E35-TODAY()&lt;=14,"Due ≤ 14 days",IF(E35-TODAY()&lt;=30,"Due ≤ 30 days","Upcoming")))))</f>
        <v/>
      </c>
      <c r="H35" s="22" t="str">
        <f aca="false">IF(OR(B35="",D35=""),"",IF(D35="New position","New position",IF(COUNTIF('EoM Sheet'!$B$9:$B$108,"*"&amp;D35)=0,"Not on EoM list",IF(_xlfn.MAXIFS('EoM Sheet'!$E$9:$E$108,'EoM Sheet'!$B$9:$B$108,"*"&amp;D35)=0,"Date TBC",_xlfn.MAXIFS('EoM Sheet'!$E$9:$E$108,'EoM Sheet'!$B$9:$B$108,"*"&amp;D35)))))</f>
        <v/>
      </c>
      <c r="I35" s="20" t="str">
        <f aca="false">IF(AND(ISNUMBER(E35),ISNUMBER(H35)),H35-E35,"")</f>
        <v/>
      </c>
      <c r="J35" s="17"/>
    </row>
    <row r="36" customFormat="false" ht="19.5" hidden="false" customHeight="true" outlineLevel="0" collapsed="false">
      <c r="A36" s="23" t="str">
        <f aca="false">IF(B36="","",COUNTA($B$9:B36))</f>
        <v/>
      </c>
      <c r="B36" s="24"/>
      <c r="C36" s="25"/>
      <c r="D36" s="26"/>
      <c r="E36" s="27"/>
      <c r="F36" s="28" t="str">
        <f aca="true">IF(OR(B36="",E36=""),"",E36-TODAY())</f>
        <v/>
      </c>
      <c r="G36" s="29" t="str">
        <f aca="true">IF(B36="","",IF(E36="","Date TBC",IF(E36&lt;TODAY(),"Arrived",IF(E36-TODAY()&lt;=14,"Due ≤ 14 days",IF(E36-TODAY()&lt;=30,"Due ≤ 30 days","Upcoming")))))</f>
        <v/>
      </c>
      <c r="H36" s="30" t="str">
        <f aca="false">IF(OR(B36="",D36=""),"",IF(D36="New position","New position",IF(COUNTIF('EoM Sheet'!$B$9:$B$108,"*"&amp;D36)=0,"Not on EoM list",IF(_xlfn.MAXIFS('EoM Sheet'!$E$9:$E$108,'EoM Sheet'!$B$9:$B$108,"*"&amp;D36)=0,"Date TBC",_xlfn.MAXIFS('EoM Sheet'!$E$9:$E$108,'EoM Sheet'!$B$9:$B$108,"*"&amp;D36)))))</f>
        <v/>
      </c>
      <c r="I36" s="28" t="str">
        <f aca="false">IF(AND(ISNUMBER(E36),ISNUMBER(H36)),H36-E36,"")</f>
        <v/>
      </c>
      <c r="J36" s="25"/>
    </row>
    <row r="37" customFormat="false" ht="19.5" hidden="false" customHeight="true" outlineLevel="0" collapsed="false">
      <c r="A37" s="15" t="str">
        <f aca="false">IF(B37="","",COUNTA($B$9:B37))</f>
        <v/>
      </c>
      <c r="B37" s="16"/>
      <c r="C37" s="17"/>
      <c r="D37" s="18"/>
      <c r="E37" s="19"/>
      <c r="F37" s="20" t="str">
        <f aca="true">IF(OR(B37="",E37=""),"",E37-TODAY())</f>
        <v/>
      </c>
      <c r="G37" s="21" t="str">
        <f aca="true">IF(B37="","",IF(E37="","Date TBC",IF(E37&lt;TODAY(),"Arrived",IF(E37-TODAY()&lt;=14,"Due ≤ 14 days",IF(E37-TODAY()&lt;=30,"Due ≤ 30 days","Upcoming")))))</f>
        <v/>
      </c>
      <c r="H37" s="22" t="str">
        <f aca="false">IF(OR(B37="",D37=""),"",IF(D37="New position","New position",IF(COUNTIF('EoM Sheet'!$B$9:$B$108,"*"&amp;D37)=0,"Not on EoM list",IF(_xlfn.MAXIFS('EoM Sheet'!$E$9:$E$108,'EoM Sheet'!$B$9:$B$108,"*"&amp;D37)=0,"Date TBC",_xlfn.MAXIFS('EoM Sheet'!$E$9:$E$108,'EoM Sheet'!$B$9:$B$108,"*"&amp;D37)))))</f>
        <v/>
      </c>
      <c r="I37" s="20" t="str">
        <f aca="false">IF(AND(ISNUMBER(E37),ISNUMBER(H37)),H37-E37,"")</f>
        <v/>
      </c>
      <c r="J37" s="17"/>
    </row>
    <row r="38" customFormat="false" ht="19.5" hidden="false" customHeight="true" outlineLevel="0" collapsed="false">
      <c r="A38" s="23" t="str">
        <f aca="false">IF(B38="","",COUNTA($B$9:B38))</f>
        <v/>
      </c>
      <c r="B38" s="24"/>
      <c r="C38" s="25"/>
      <c r="D38" s="26"/>
      <c r="E38" s="27"/>
      <c r="F38" s="28" t="str">
        <f aca="true">IF(OR(B38="",E38=""),"",E38-TODAY())</f>
        <v/>
      </c>
      <c r="G38" s="29" t="str">
        <f aca="true">IF(B38="","",IF(E38="","Date TBC",IF(E38&lt;TODAY(),"Arrived",IF(E38-TODAY()&lt;=14,"Due ≤ 14 days",IF(E38-TODAY()&lt;=30,"Due ≤ 30 days","Upcoming")))))</f>
        <v/>
      </c>
      <c r="H38" s="30" t="str">
        <f aca="false">IF(OR(B38="",D38=""),"",IF(D38="New position","New position",IF(COUNTIF('EoM Sheet'!$B$9:$B$108,"*"&amp;D38)=0,"Not on EoM list",IF(_xlfn.MAXIFS('EoM Sheet'!$E$9:$E$108,'EoM Sheet'!$B$9:$B$108,"*"&amp;D38)=0,"Date TBC",_xlfn.MAXIFS('EoM Sheet'!$E$9:$E$108,'EoM Sheet'!$B$9:$B$108,"*"&amp;D38)))))</f>
        <v/>
      </c>
      <c r="I38" s="28" t="str">
        <f aca="false">IF(AND(ISNUMBER(E38),ISNUMBER(H38)),H38-E38,"")</f>
        <v/>
      </c>
      <c r="J38" s="25"/>
    </row>
    <row r="39" customFormat="false" ht="19.5" hidden="false" customHeight="true" outlineLevel="0" collapsed="false">
      <c r="A39" s="15" t="str">
        <f aca="false">IF(B39="","",COUNTA($B$9:B39))</f>
        <v/>
      </c>
      <c r="B39" s="16"/>
      <c r="C39" s="17"/>
      <c r="D39" s="18"/>
      <c r="E39" s="19"/>
      <c r="F39" s="20" t="str">
        <f aca="true">IF(OR(B39="",E39=""),"",E39-TODAY())</f>
        <v/>
      </c>
      <c r="G39" s="21" t="str">
        <f aca="true">IF(B39="","",IF(E39="","Date TBC",IF(E39&lt;TODAY(),"Arrived",IF(E39-TODAY()&lt;=14,"Due ≤ 14 days",IF(E39-TODAY()&lt;=30,"Due ≤ 30 days","Upcoming")))))</f>
        <v/>
      </c>
      <c r="H39" s="22" t="str">
        <f aca="false">IF(OR(B39="",D39=""),"",IF(D39="New position","New position",IF(COUNTIF('EoM Sheet'!$B$9:$B$108,"*"&amp;D39)=0,"Not on EoM list",IF(_xlfn.MAXIFS('EoM Sheet'!$E$9:$E$108,'EoM Sheet'!$B$9:$B$108,"*"&amp;D39)=0,"Date TBC",_xlfn.MAXIFS('EoM Sheet'!$E$9:$E$108,'EoM Sheet'!$B$9:$B$108,"*"&amp;D39)))))</f>
        <v/>
      </c>
      <c r="I39" s="20" t="str">
        <f aca="false">IF(AND(ISNUMBER(E39),ISNUMBER(H39)),H39-E39,"")</f>
        <v/>
      </c>
      <c r="J39" s="17"/>
    </row>
    <row r="40" customFormat="false" ht="19.5" hidden="false" customHeight="true" outlineLevel="0" collapsed="false">
      <c r="A40" s="23" t="str">
        <f aca="false">IF(B40="","",COUNTA($B$9:B40))</f>
        <v/>
      </c>
      <c r="B40" s="24"/>
      <c r="C40" s="25"/>
      <c r="D40" s="26"/>
      <c r="E40" s="27"/>
      <c r="F40" s="28" t="str">
        <f aca="true">IF(OR(B40="",E40=""),"",E40-TODAY())</f>
        <v/>
      </c>
      <c r="G40" s="29" t="str">
        <f aca="true">IF(B40="","",IF(E40="","Date TBC",IF(E40&lt;TODAY(),"Arrived",IF(E40-TODAY()&lt;=14,"Due ≤ 14 days",IF(E40-TODAY()&lt;=30,"Due ≤ 30 days","Upcoming")))))</f>
        <v/>
      </c>
      <c r="H40" s="30" t="str">
        <f aca="false">IF(OR(B40="",D40=""),"",IF(D40="New position","New position",IF(COUNTIF('EoM Sheet'!$B$9:$B$108,"*"&amp;D40)=0,"Not on EoM list",IF(_xlfn.MAXIFS('EoM Sheet'!$E$9:$E$108,'EoM Sheet'!$B$9:$B$108,"*"&amp;D40)=0,"Date TBC",_xlfn.MAXIFS('EoM Sheet'!$E$9:$E$108,'EoM Sheet'!$B$9:$B$108,"*"&amp;D40)))))</f>
        <v/>
      </c>
      <c r="I40" s="28" t="str">
        <f aca="false">IF(AND(ISNUMBER(E40),ISNUMBER(H40)),H40-E40,"")</f>
        <v/>
      </c>
      <c r="J40" s="25"/>
    </row>
    <row r="41" customFormat="false" ht="19.5" hidden="false" customHeight="true" outlineLevel="0" collapsed="false">
      <c r="A41" s="15" t="str">
        <f aca="false">IF(B41="","",COUNTA($B$9:B41))</f>
        <v/>
      </c>
      <c r="B41" s="16"/>
      <c r="C41" s="17"/>
      <c r="D41" s="18"/>
      <c r="E41" s="19"/>
      <c r="F41" s="20" t="str">
        <f aca="true">IF(OR(B41="",E41=""),"",E41-TODAY())</f>
        <v/>
      </c>
      <c r="G41" s="21" t="str">
        <f aca="true">IF(B41="","",IF(E41="","Date TBC",IF(E41&lt;TODAY(),"Arrived",IF(E41-TODAY()&lt;=14,"Due ≤ 14 days",IF(E41-TODAY()&lt;=30,"Due ≤ 30 days","Upcoming")))))</f>
        <v/>
      </c>
      <c r="H41" s="22" t="str">
        <f aca="false">IF(OR(B41="",D41=""),"",IF(D41="New position","New position",IF(COUNTIF('EoM Sheet'!$B$9:$B$108,"*"&amp;D41)=0,"Not on EoM list",IF(_xlfn.MAXIFS('EoM Sheet'!$E$9:$E$108,'EoM Sheet'!$B$9:$B$108,"*"&amp;D41)=0,"Date TBC",_xlfn.MAXIFS('EoM Sheet'!$E$9:$E$108,'EoM Sheet'!$B$9:$B$108,"*"&amp;D41)))))</f>
        <v/>
      </c>
      <c r="I41" s="20" t="str">
        <f aca="false">IF(AND(ISNUMBER(E41),ISNUMBER(H41)),H41-E41,"")</f>
        <v/>
      </c>
      <c r="J41" s="17"/>
    </row>
    <row r="42" customFormat="false" ht="19.5" hidden="false" customHeight="true" outlineLevel="0" collapsed="false">
      <c r="A42" s="23" t="str">
        <f aca="false">IF(B42="","",COUNTA($B$9:B42))</f>
        <v/>
      </c>
      <c r="B42" s="24"/>
      <c r="C42" s="25"/>
      <c r="D42" s="26"/>
      <c r="E42" s="27"/>
      <c r="F42" s="28" t="str">
        <f aca="true">IF(OR(B42="",E42=""),"",E42-TODAY())</f>
        <v/>
      </c>
      <c r="G42" s="29" t="str">
        <f aca="true">IF(B42="","",IF(E42="","Date TBC",IF(E42&lt;TODAY(),"Arrived",IF(E42-TODAY()&lt;=14,"Due ≤ 14 days",IF(E42-TODAY()&lt;=30,"Due ≤ 30 days","Upcoming")))))</f>
        <v/>
      </c>
      <c r="H42" s="30" t="str">
        <f aca="false">IF(OR(B42="",D42=""),"",IF(D42="New position","New position",IF(COUNTIF('EoM Sheet'!$B$9:$B$108,"*"&amp;D42)=0,"Not on EoM list",IF(_xlfn.MAXIFS('EoM Sheet'!$E$9:$E$108,'EoM Sheet'!$B$9:$B$108,"*"&amp;D42)=0,"Date TBC",_xlfn.MAXIFS('EoM Sheet'!$E$9:$E$108,'EoM Sheet'!$B$9:$B$108,"*"&amp;D42)))))</f>
        <v/>
      </c>
      <c r="I42" s="28" t="str">
        <f aca="false">IF(AND(ISNUMBER(E42),ISNUMBER(H42)),H42-E42,"")</f>
        <v/>
      </c>
      <c r="J42" s="25"/>
    </row>
    <row r="43" customFormat="false" ht="19.5" hidden="false" customHeight="true" outlineLevel="0" collapsed="false">
      <c r="A43" s="15" t="str">
        <f aca="false">IF(B43="","",COUNTA($B$9:B43))</f>
        <v/>
      </c>
      <c r="B43" s="16"/>
      <c r="C43" s="17"/>
      <c r="D43" s="18"/>
      <c r="E43" s="19"/>
      <c r="F43" s="20" t="str">
        <f aca="true">IF(OR(B43="",E43=""),"",E43-TODAY())</f>
        <v/>
      </c>
      <c r="G43" s="21" t="str">
        <f aca="true">IF(B43="","",IF(E43="","Date TBC",IF(E43&lt;TODAY(),"Arrived",IF(E43-TODAY()&lt;=14,"Due ≤ 14 days",IF(E43-TODAY()&lt;=30,"Due ≤ 30 days","Upcoming")))))</f>
        <v/>
      </c>
      <c r="H43" s="22" t="str">
        <f aca="false">IF(OR(B43="",D43=""),"",IF(D43="New position","New position",IF(COUNTIF('EoM Sheet'!$B$9:$B$108,"*"&amp;D43)=0,"Not on EoM list",IF(_xlfn.MAXIFS('EoM Sheet'!$E$9:$E$108,'EoM Sheet'!$B$9:$B$108,"*"&amp;D43)=0,"Date TBC",_xlfn.MAXIFS('EoM Sheet'!$E$9:$E$108,'EoM Sheet'!$B$9:$B$108,"*"&amp;D43)))))</f>
        <v/>
      </c>
      <c r="I43" s="20" t="str">
        <f aca="false">IF(AND(ISNUMBER(E43),ISNUMBER(H43)),H43-E43,"")</f>
        <v/>
      </c>
      <c r="J43" s="17"/>
    </row>
    <row r="44" customFormat="false" ht="19.5" hidden="false" customHeight="true" outlineLevel="0" collapsed="false">
      <c r="A44" s="23" t="str">
        <f aca="false">IF(B44="","",COUNTA($B$9:B44))</f>
        <v/>
      </c>
      <c r="B44" s="24"/>
      <c r="C44" s="25"/>
      <c r="D44" s="26"/>
      <c r="E44" s="27"/>
      <c r="F44" s="28" t="str">
        <f aca="true">IF(OR(B44="",E44=""),"",E44-TODAY())</f>
        <v/>
      </c>
      <c r="G44" s="29" t="str">
        <f aca="true">IF(B44="","",IF(E44="","Date TBC",IF(E44&lt;TODAY(),"Arrived",IF(E44-TODAY()&lt;=14,"Due ≤ 14 days",IF(E44-TODAY()&lt;=30,"Due ≤ 30 days","Upcoming")))))</f>
        <v/>
      </c>
      <c r="H44" s="30" t="str">
        <f aca="false">IF(OR(B44="",D44=""),"",IF(D44="New position","New position",IF(COUNTIF('EoM Sheet'!$B$9:$B$108,"*"&amp;D44)=0,"Not on EoM list",IF(_xlfn.MAXIFS('EoM Sheet'!$E$9:$E$108,'EoM Sheet'!$B$9:$B$108,"*"&amp;D44)=0,"Date TBC",_xlfn.MAXIFS('EoM Sheet'!$E$9:$E$108,'EoM Sheet'!$B$9:$B$108,"*"&amp;D44)))))</f>
        <v/>
      </c>
      <c r="I44" s="28" t="str">
        <f aca="false">IF(AND(ISNUMBER(E44),ISNUMBER(H44)),H44-E44,"")</f>
        <v/>
      </c>
      <c r="J44" s="25"/>
    </row>
    <row r="45" customFormat="false" ht="19.5" hidden="false" customHeight="true" outlineLevel="0" collapsed="false">
      <c r="A45" s="15" t="str">
        <f aca="false">IF(B45="","",COUNTA($B$9:B45))</f>
        <v/>
      </c>
      <c r="B45" s="16"/>
      <c r="C45" s="17"/>
      <c r="D45" s="18"/>
      <c r="E45" s="19"/>
      <c r="F45" s="20" t="str">
        <f aca="true">IF(OR(B45="",E45=""),"",E45-TODAY())</f>
        <v/>
      </c>
      <c r="G45" s="21" t="str">
        <f aca="true">IF(B45="","",IF(E45="","Date TBC",IF(E45&lt;TODAY(),"Arrived",IF(E45-TODAY()&lt;=14,"Due ≤ 14 days",IF(E45-TODAY()&lt;=30,"Due ≤ 30 days","Upcoming")))))</f>
        <v/>
      </c>
      <c r="H45" s="22" t="str">
        <f aca="false">IF(OR(B45="",D45=""),"",IF(D45="New position","New position",IF(COUNTIF('EoM Sheet'!$B$9:$B$108,"*"&amp;D45)=0,"Not on EoM list",IF(_xlfn.MAXIFS('EoM Sheet'!$E$9:$E$108,'EoM Sheet'!$B$9:$B$108,"*"&amp;D45)=0,"Date TBC",_xlfn.MAXIFS('EoM Sheet'!$E$9:$E$108,'EoM Sheet'!$B$9:$B$108,"*"&amp;D45)))))</f>
        <v/>
      </c>
      <c r="I45" s="20" t="str">
        <f aca="false">IF(AND(ISNUMBER(E45),ISNUMBER(H45)),H45-E45,"")</f>
        <v/>
      </c>
      <c r="J45" s="17"/>
    </row>
    <row r="46" customFormat="false" ht="19.5" hidden="false" customHeight="true" outlineLevel="0" collapsed="false">
      <c r="A46" s="23" t="str">
        <f aca="false">IF(B46="","",COUNTA($B$9:B46))</f>
        <v/>
      </c>
      <c r="B46" s="24"/>
      <c r="C46" s="25"/>
      <c r="D46" s="26"/>
      <c r="E46" s="27"/>
      <c r="F46" s="28" t="str">
        <f aca="true">IF(OR(B46="",E46=""),"",E46-TODAY())</f>
        <v/>
      </c>
      <c r="G46" s="29" t="str">
        <f aca="true">IF(B46="","",IF(E46="","Date TBC",IF(E46&lt;TODAY(),"Arrived",IF(E46-TODAY()&lt;=14,"Due ≤ 14 days",IF(E46-TODAY()&lt;=30,"Due ≤ 30 days","Upcoming")))))</f>
        <v/>
      </c>
      <c r="H46" s="30" t="str">
        <f aca="false">IF(OR(B46="",D46=""),"",IF(D46="New position","New position",IF(COUNTIF('EoM Sheet'!$B$9:$B$108,"*"&amp;D46)=0,"Not on EoM list",IF(_xlfn.MAXIFS('EoM Sheet'!$E$9:$E$108,'EoM Sheet'!$B$9:$B$108,"*"&amp;D46)=0,"Date TBC",_xlfn.MAXIFS('EoM Sheet'!$E$9:$E$108,'EoM Sheet'!$B$9:$B$108,"*"&amp;D46)))))</f>
        <v/>
      </c>
      <c r="I46" s="28" t="str">
        <f aca="false">IF(AND(ISNUMBER(E46),ISNUMBER(H46)),H46-E46,"")</f>
        <v/>
      </c>
      <c r="J46" s="25"/>
    </row>
    <row r="47" customFormat="false" ht="19.5" hidden="false" customHeight="true" outlineLevel="0" collapsed="false">
      <c r="A47" s="15" t="str">
        <f aca="false">IF(B47="","",COUNTA($B$9:B47))</f>
        <v/>
      </c>
      <c r="B47" s="16"/>
      <c r="C47" s="17"/>
      <c r="D47" s="18"/>
      <c r="E47" s="19"/>
      <c r="F47" s="20" t="str">
        <f aca="true">IF(OR(B47="",E47=""),"",E47-TODAY())</f>
        <v/>
      </c>
      <c r="G47" s="21" t="str">
        <f aca="true">IF(B47="","",IF(E47="","Date TBC",IF(E47&lt;TODAY(),"Arrived",IF(E47-TODAY()&lt;=14,"Due ≤ 14 days",IF(E47-TODAY()&lt;=30,"Due ≤ 30 days","Upcoming")))))</f>
        <v/>
      </c>
      <c r="H47" s="22" t="str">
        <f aca="false">IF(OR(B47="",D47=""),"",IF(D47="New position","New position",IF(COUNTIF('EoM Sheet'!$B$9:$B$108,"*"&amp;D47)=0,"Not on EoM list",IF(_xlfn.MAXIFS('EoM Sheet'!$E$9:$E$108,'EoM Sheet'!$B$9:$B$108,"*"&amp;D47)=0,"Date TBC",_xlfn.MAXIFS('EoM Sheet'!$E$9:$E$108,'EoM Sheet'!$B$9:$B$108,"*"&amp;D47)))))</f>
        <v/>
      </c>
      <c r="I47" s="20" t="str">
        <f aca="false">IF(AND(ISNUMBER(E47),ISNUMBER(H47)),H47-E47,"")</f>
        <v/>
      </c>
      <c r="J47" s="17"/>
    </row>
    <row r="48" customFormat="false" ht="19.5" hidden="false" customHeight="true" outlineLevel="0" collapsed="false">
      <c r="A48" s="23" t="str">
        <f aca="false">IF(B48="","",COUNTA($B$9:B48))</f>
        <v/>
      </c>
      <c r="B48" s="24"/>
      <c r="C48" s="25"/>
      <c r="D48" s="26"/>
      <c r="E48" s="27"/>
      <c r="F48" s="28" t="str">
        <f aca="true">IF(OR(B48="",E48=""),"",E48-TODAY())</f>
        <v/>
      </c>
      <c r="G48" s="29" t="str">
        <f aca="true">IF(B48="","",IF(E48="","Date TBC",IF(E48&lt;TODAY(),"Arrived",IF(E48-TODAY()&lt;=14,"Due ≤ 14 days",IF(E48-TODAY()&lt;=30,"Due ≤ 30 days","Upcoming")))))</f>
        <v/>
      </c>
      <c r="H48" s="30" t="str">
        <f aca="false">IF(OR(B48="",D48=""),"",IF(D48="New position","New position",IF(COUNTIF('EoM Sheet'!$B$9:$B$108,"*"&amp;D48)=0,"Not on EoM list",IF(_xlfn.MAXIFS('EoM Sheet'!$E$9:$E$108,'EoM Sheet'!$B$9:$B$108,"*"&amp;D48)=0,"Date TBC",_xlfn.MAXIFS('EoM Sheet'!$E$9:$E$108,'EoM Sheet'!$B$9:$B$108,"*"&amp;D48)))))</f>
        <v/>
      </c>
      <c r="I48" s="28" t="str">
        <f aca="false">IF(AND(ISNUMBER(E48),ISNUMBER(H48)),H48-E48,"")</f>
        <v/>
      </c>
      <c r="J48" s="25"/>
    </row>
    <row r="49" customFormat="false" ht="19.5" hidden="false" customHeight="true" outlineLevel="0" collapsed="false">
      <c r="A49" s="15" t="str">
        <f aca="false">IF(B49="","",COUNTA($B$9:B49))</f>
        <v/>
      </c>
      <c r="B49" s="16"/>
      <c r="C49" s="17"/>
      <c r="D49" s="18"/>
      <c r="E49" s="19"/>
      <c r="F49" s="20" t="str">
        <f aca="true">IF(OR(B49="",E49=""),"",E49-TODAY())</f>
        <v/>
      </c>
      <c r="G49" s="21" t="str">
        <f aca="true">IF(B49="","",IF(E49="","Date TBC",IF(E49&lt;TODAY(),"Arrived",IF(E49-TODAY()&lt;=14,"Due ≤ 14 days",IF(E49-TODAY()&lt;=30,"Due ≤ 30 days","Upcoming")))))</f>
        <v/>
      </c>
      <c r="H49" s="22" t="str">
        <f aca="false">IF(OR(B49="",D49=""),"",IF(D49="New position","New position",IF(COUNTIF('EoM Sheet'!$B$9:$B$108,"*"&amp;D49)=0,"Not on EoM list",IF(_xlfn.MAXIFS('EoM Sheet'!$E$9:$E$108,'EoM Sheet'!$B$9:$B$108,"*"&amp;D49)=0,"Date TBC",_xlfn.MAXIFS('EoM Sheet'!$E$9:$E$108,'EoM Sheet'!$B$9:$B$108,"*"&amp;D49)))))</f>
        <v/>
      </c>
      <c r="I49" s="20" t="str">
        <f aca="false">IF(AND(ISNUMBER(E49),ISNUMBER(H49)),H49-E49,"")</f>
        <v/>
      </c>
      <c r="J49" s="17"/>
    </row>
    <row r="50" customFormat="false" ht="19.5" hidden="false" customHeight="true" outlineLevel="0" collapsed="false">
      <c r="A50" s="23" t="str">
        <f aca="false">IF(B50="","",COUNTA($B$9:B50))</f>
        <v/>
      </c>
      <c r="B50" s="24"/>
      <c r="C50" s="25"/>
      <c r="D50" s="26"/>
      <c r="E50" s="27"/>
      <c r="F50" s="28" t="str">
        <f aca="true">IF(OR(B50="",E50=""),"",E50-TODAY())</f>
        <v/>
      </c>
      <c r="G50" s="29" t="str">
        <f aca="true">IF(B50="","",IF(E50="","Date TBC",IF(E50&lt;TODAY(),"Arrived",IF(E50-TODAY()&lt;=14,"Due ≤ 14 days",IF(E50-TODAY()&lt;=30,"Due ≤ 30 days","Upcoming")))))</f>
        <v/>
      </c>
      <c r="H50" s="30" t="str">
        <f aca="false">IF(OR(B50="",D50=""),"",IF(D50="New position","New position",IF(COUNTIF('EoM Sheet'!$B$9:$B$108,"*"&amp;D50)=0,"Not on EoM list",IF(_xlfn.MAXIFS('EoM Sheet'!$E$9:$E$108,'EoM Sheet'!$B$9:$B$108,"*"&amp;D50)=0,"Date TBC",_xlfn.MAXIFS('EoM Sheet'!$E$9:$E$108,'EoM Sheet'!$B$9:$B$108,"*"&amp;D50)))))</f>
        <v/>
      </c>
      <c r="I50" s="28" t="str">
        <f aca="false">IF(AND(ISNUMBER(E50),ISNUMBER(H50)),H50-E50,"")</f>
        <v/>
      </c>
      <c r="J50" s="25"/>
    </row>
    <row r="51" customFormat="false" ht="19.5" hidden="false" customHeight="true" outlineLevel="0" collapsed="false">
      <c r="A51" s="15" t="str">
        <f aca="false">IF(B51="","",COUNTA($B$9:B51))</f>
        <v/>
      </c>
      <c r="B51" s="16"/>
      <c r="C51" s="17"/>
      <c r="D51" s="18"/>
      <c r="E51" s="19"/>
      <c r="F51" s="20" t="str">
        <f aca="true">IF(OR(B51="",E51=""),"",E51-TODAY())</f>
        <v/>
      </c>
      <c r="G51" s="21" t="str">
        <f aca="true">IF(B51="","",IF(E51="","Date TBC",IF(E51&lt;TODAY(),"Arrived",IF(E51-TODAY()&lt;=14,"Due ≤ 14 days",IF(E51-TODAY()&lt;=30,"Due ≤ 30 days","Upcoming")))))</f>
        <v/>
      </c>
      <c r="H51" s="22" t="str">
        <f aca="false">IF(OR(B51="",D51=""),"",IF(D51="New position","New position",IF(COUNTIF('EoM Sheet'!$B$9:$B$108,"*"&amp;D51)=0,"Not on EoM list",IF(_xlfn.MAXIFS('EoM Sheet'!$E$9:$E$108,'EoM Sheet'!$B$9:$B$108,"*"&amp;D51)=0,"Date TBC",_xlfn.MAXIFS('EoM Sheet'!$E$9:$E$108,'EoM Sheet'!$B$9:$B$108,"*"&amp;D51)))))</f>
        <v/>
      </c>
      <c r="I51" s="20" t="str">
        <f aca="false">IF(AND(ISNUMBER(E51),ISNUMBER(H51)),H51-E51,"")</f>
        <v/>
      </c>
      <c r="J51" s="17"/>
    </row>
    <row r="52" customFormat="false" ht="19.5" hidden="false" customHeight="true" outlineLevel="0" collapsed="false">
      <c r="A52" s="23" t="str">
        <f aca="false">IF(B52="","",COUNTA($B$9:B52))</f>
        <v/>
      </c>
      <c r="B52" s="24"/>
      <c r="C52" s="25"/>
      <c r="D52" s="26"/>
      <c r="E52" s="27"/>
      <c r="F52" s="28" t="str">
        <f aca="true">IF(OR(B52="",E52=""),"",E52-TODAY())</f>
        <v/>
      </c>
      <c r="G52" s="29" t="str">
        <f aca="true">IF(B52="","",IF(E52="","Date TBC",IF(E52&lt;TODAY(),"Arrived",IF(E52-TODAY()&lt;=14,"Due ≤ 14 days",IF(E52-TODAY()&lt;=30,"Due ≤ 30 days","Upcoming")))))</f>
        <v/>
      </c>
      <c r="H52" s="30" t="str">
        <f aca="false">IF(OR(B52="",D52=""),"",IF(D52="New position","New position",IF(COUNTIF('EoM Sheet'!$B$9:$B$108,"*"&amp;D52)=0,"Not on EoM list",IF(_xlfn.MAXIFS('EoM Sheet'!$E$9:$E$108,'EoM Sheet'!$B$9:$B$108,"*"&amp;D52)=0,"Date TBC",_xlfn.MAXIFS('EoM Sheet'!$E$9:$E$108,'EoM Sheet'!$B$9:$B$108,"*"&amp;D52)))))</f>
        <v/>
      </c>
      <c r="I52" s="28" t="str">
        <f aca="false">IF(AND(ISNUMBER(E52),ISNUMBER(H52)),H52-E52,"")</f>
        <v/>
      </c>
      <c r="J52" s="25"/>
    </row>
    <row r="53" customFormat="false" ht="19.5" hidden="false" customHeight="true" outlineLevel="0" collapsed="false">
      <c r="A53" s="15" t="str">
        <f aca="false">IF(B53="","",COUNTA($B$9:B53))</f>
        <v/>
      </c>
      <c r="B53" s="16"/>
      <c r="C53" s="17"/>
      <c r="D53" s="18"/>
      <c r="E53" s="19"/>
      <c r="F53" s="20" t="str">
        <f aca="true">IF(OR(B53="",E53=""),"",E53-TODAY())</f>
        <v/>
      </c>
      <c r="G53" s="21" t="str">
        <f aca="true">IF(B53="","",IF(E53="","Date TBC",IF(E53&lt;TODAY(),"Arrived",IF(E53-TODAY()&lt;=14,"Due ≤ 14 days",IF(E53-TODAY()&lt;=30,"Due ≤ 30 days","Upcoming")))))</f>
        <v/>
      </c>
      <c r="H53" s="22" t="str">
        <f aca="false">IF(OR(B53="",D53=""),"",IF(D53="New position","New position",IF(COUNTIF('EoM Sheet'!$B$9:$B$108,"*"&amp;D53)=0,"Not on EoM list",IF(_xlfn.MAXIFS('EoM Sheet'!$E$9:$E$108,'EoM Sheet'!$B$9:$B$108,"*"&amp;D53)=0,"Date TBC",_xlfn.MAXIFS('EoM Sheet'!$E$9:$E$108,'EoM Sheet'!$B$9:$B$108,"*"&amp;D53)))))</f>
        <v/>
      </c>
      <c r="I53" s="20" t="str">
        <f aca="false">IF(AND(ISNUMBER(E53),ISNUMBER(H53)),H53-E53,"")</f>
        <v/>
      </c>
      <c r="J53" s="17"/>
    </row>
    <row r="54" customFormat="false" ht="19.5" hidden="false" customHeight="true" outlineLevel="0" collapsed="false">
      <c r="A54" s="23" t="str">
        <f aca="false">IF(B54="","",COUNTA($B$9:B54))</f>
        <v/>
      </c>
      <c r="B54" s="24"/>
      <c r="C54" s="25"/>
      <c r="D54" s="26"/>
      <c r="E54" s="27"/>
      <c r="F54" s="28" t="str">
        <f aca="true">IF(OR(B54="",E54=""),"",E54-TODAY())</f>
        <v/>
      </c>
      <c r="G54" s="29" t="str">
        <f aca="true">IF(B54="","",IF(E54="","Date TBC",IF(E54&lt;TODAY(),"Arrived",IF(E54-TODAY()&lt;=14,"Due ≤ 14 days",IF(E54-TODAY()&lt;=30,"Due ≤ 30 days","Upcoming")))))</f>
        <v/>
      </c>
      <c r="H54" s="30" t="str">
        <f aca="false">IF(OR(B54="",D54=""),"",IF(D54="New position","New position",IF(COUNTIF('EoM Sheet'!$B$9:$B$108,"*"&amp;D54)=0,"Not on EoM list",IF(_xlfn.MAXIFS('EoM Sheet'!$E$9:$E$108,'EoM Sheet'!$B$9:$B$108,"*"&amp;D54)=0,"Date TBC",_xlfn.MAXIFS('EoM Sheet'!$E$9:$E$108,'EoM Sheet'!$B$9:$B$108,"*"&amp;D54)))))</f>
        <v/>
      </c>
      <c r="I54" s="28" t="str">
        <f aca="false">IF(AND(ISNUMBER(E54),ISNUMBER(H54)),H54-E54,"")</f>
        <v/>
      </c>
      <c r="J54" s="25"/>
    </row>
    <row r="55" customFormat="false" ht="19.5" hidden="false" customHeight="true" outlineLevel="0" collapsed="false">
      <c r="A55" s="15" t="str">
        <f aca="false">IF(B55="","",COUNTA($B$9:B55))</f>
        <v/>
      </c>
      <c r="B55" s="16"/>
      <c r="C55" s="17"/>
      <c r="D55" s="18"/>
      <c r="E55" s="19"/>
      <c r="F55" s="20" t="str">
        <f aca="true">IF(OR(B55="",E55=""),"",E55-TODAY())</f>
        <v/>
      </c>
      <c r="G55" s="21" t="str">
        <f aca="true">IF(B55="","",IF(E55="","Date TBC",IF(E55&lt;TODAY(),"Arrived",IF(E55-TODAY()&lt;=14,"Due ≤ 14 days",IF(E55-TODAY()&lt;=30,"Due ≤ 30 days","Upcoming")))))</f>
        <v/>
      </c>
      <c r="H55" s="22" t="str">
        <f aca="false">IF(OR(B55="",D55=""),"",IF(D55="New position","New position",IF(COUNTIF('EoM Sheet'!$B$9:$B$108,"*"&amp;D55)=0,"Not on EoM list",IF(_xlfn.MAXIFS('EoM Sheet'!$E$9:$E$108,'EoM Sheet'!$B$9:$B$108,"*"&amp;D55)=0,"Date TBC",_xlfn.MAXIFS('EoM Sheet'!$E$9:$E$108,'EoM Sheet'!$B$9:$B$108,"*"&amp;D55)))))</f>
        <v/>
      </c>
      <c r="I55" s="20" t="str">
        <f aca="false">IF(AND(ISNUMBER(E55),ISNUMBER(H55)),H55-E55,"")</f>
        <v/>
      </c>
      <c r="J55" s="17"/>
    </row>
    <row r="56" customFormat="false" ht="19.5" hidden="false" customHeight="true" outlineLevel="0" collapsed="false">
      <c r="A56" s="23" t="str">
        <f aca="false">IF(B56="","",COUNTA($B$9:B56))</f>
        <v/>
      </c>
      <c r="B56" s="24"/>
      <c r="C56" s="25"/>
      <c r="D56" s="26"/>
      <c r="E56" s="27"/>
      <c r="F56" s="28" t="str">
        <f aca="true">IF(OR(B56="",E56=""),"",E56-TODAY())</f>
        <v/>
      </c>
      <c r="G56" s="29" t="str">
        <f aca="true">IF(B56="","",IF(E56="","Date TBC",IF(E56&lt;TODAY(),"Arrived",IF(E56-TODAY()&lt;=14,"Due ≤ 14 days",IF(E56-TODAY()&lt;=30,"Due ≤ 30 days","Upcoming")))))</f>
        <v/>
      </c>
      <c r="H56" s="30" t="str">
        <f aca="false">IF(OR(B56="",D56=""),"",IF(D56="New position","New position",IF(COUNTIF('EoM Sheet'!$B$9:$B$108,"*"&amp;D56)=0,"Not on EoM list",IF(_xlfn.MAXIFS('EoM Sheet'!$E$9:$E$108,'EoM Sheet'!$B$9:$B$108,"*"&amp;D56)=0,"Date TBC",_xlfn.MAXIFS('EoM Sheet'!$E$9:$E$108,'EoM Sheet'!$B$9:$B$108,"*"&amp;D56)))))</f>
        <v/>
      </c>
      <c r="I56" s="28" t="str">
        <f aca="false">IF(AND(ISNUMBER(E56),ISNUMBER(H56)),H56-E56,"")</f>
        <v/>
      </c>
      <c r="J56" s="25"/>
    </row>
    <row r="57" customFormat="false" ht="19.5" hidden="false" customHeight="true" outlineLevel="0" collapsed="false">
      <c r="A57" s="15" t="str">
        <f aca="false">IF(B57="","",COUNTA($B$9:B57))</f>
        <v/>
      </c>
      <c r="B57" s="16"/>
      <c r="C57" s="17"/>
      <c r="D57" s="18"/>
      <c r="E57" s="19"/>
      <c r="F57" s="20" t="str">
        <f aca="true">IF(OR(B57="",E57=""),"",E57-TODAY())</f>
        <v/>
      </c>
      <c r="G57" s="21" t="str">
        <f aca="true">IF(B57="","",IF(E57="","Date TBC",IF(E57&lt;TODAY(),"Arrived",IF(E57-TODAY()&lt;=14,"Due ≤ 14 days",IF(E57-TODAY()&lt;=30,"Due ≤ 30 days","Upcoming")))))</f>
        <v/>
      </c>
      <c r="H57" s="22" t="str">
        <f aca="false">IF(OR(B57="",D57=""),"",IF(D57="New position","New position",IF(COUNTIF('EoM Sheet'!$B$9:$B$108,"*"&amp;D57)=0,"Not on EoM list",IF(_xlfn.MAXIFS('EoM Sheet'!$E$9:$E$108,'EoM Sheet'!$B$9:$B$108,"*"&amp;D57)=0,"Date TBC",_xlfn.MAXIFS('EoM Sheet'!$E$9:$E$108,'EoM Sheet'!$B$9:$B$108,"*"&amp;D57)))))</f>
        <v/>
      </c>
      <c r="I57" s="20" t="str">
        <f aca="false">IF(AND(ISNUMBER(E57),ISNUMBER(H57)),H57-E57,"")</f>
        <v/>
      </c>
      <c r="J57" s="17"/>
    </row>
    <row r="58" customFormat="false" ht="19.5" hidden="false" customHeight="true" outlineLevel="0" collapsed="false">
      <c r="A58" s="23" t="str">
        <f aca="false">IF(B58="","",COUNTA($B$9:B58))</f>
        <v/>
      </c>
      <c r="B58" s="24"/>
      <c r="C58" s="25"/>
      <c r="D58" s="26"/>
      <c r="E58" s="27"/>
      <c r="F58" s="28" t="str">
        <f aca="true">IF(OR(B58="",E58=""),"",E58-TODAY())</f>
        <v/>
      </c>
      <c r="G58" s="29" t="str">
        <f aca="true">IF(B58="","",IF(E58="","Date TBC",IF(E58&lt;TODAY(),"Arrived",IF(E58-TODAY()&lt;=14,"Due ≤ 14 days",IF(E58-TODAY()&lt;=30,"Due ≤ 30 days","Upcoming")))))</f>
        <v/>
      </c>
      <c r="H58" s="30" t="str">
        <f aca="false">IF(OR(B58="",D58=""),"",IF(D58="New position","New position",IF(COUNTIF('EoM Sheet'!$B$9:$B$108,"*"&amp;D58)=0,"Not on EoM list",IF(_xlfn.MAXIFS('EoM Sheet'!$E$9:$E$108,'EoM Sheet'!$B$9:$B$108,"*"&amp;D58)=0,"Date TBC",_xlfn.MAXIFS('EoM Sheet'!$E$9:$E$108,'EoM Sheet'!$B$9:$B$108,"*"&amp;D58)))))</f>
        <v/>
      </c>
      <c r="I58" s="28" t="str">
        <f aca="false">IF(AND(ISNUMBER(E58),ISNUMBER(H58)),H58-E58,"")</f>
        <v/>
      </c>
      <c r="J58" s="25"/>
    </row>
    <row r="59" customFormat="false" ht="19.5" hidden="false" customHeight="true" outlineLevel="0" collapsed="false">
      <c r="A59" s="15" t="str">
        <f aca="false">IF(B59="","",COUNTA($B$9:B59))</f>
        <v/>
      </c>
      <c r="B59" s="16"/>
      <c r="C59" s="17"/>
      <c r="D59" s="18"/>
      <c r="E59" s="19"/>
      <c r="F59" s="20" t="str">
        <f aca="true">IF(OR(B59="",E59=""),"",E59-TODAY())</f>
        <v/>
      </c>
      <c r="G59" s="21" t="str">
        <f aca="true">IF(B59="","",IF(E59="","Date TBC",IF(E59&lt;TODAY(),"Arrived",IF(E59-TODAY()&lt;=14,"Due ≤ 14 days",IF(E59-TODAY()&lt;=30,"Due ≤ 30 days","Upcoming")))))</f>
        <v/>
      </c>
      <c r="H59" s="22" t="str">
        <f aca="false">IF(OR(B59="",D59=""),"",IF(D59="New position","New position",IF(COUNTIF('EoM Sheet'!$B$9:$B$108,"*"&amp;D59)=0,"Not on EoM list",IF(_xlfn.MAXIFS('EoM Sheet'!$E$9:$E$108,'EoM Sheet'!$B$9:$B$108,"*"&amp;D59)=0,"Date TBC",_xlfn.MAXIFS('EoM Sheet'!$E$9:$E$108,'EoM Sheet'!$B$9:$B$108,"*"&amp;D59)))))</f>
        <v/>
      </c>
      <c r="I59" s="20" t="str">
        <f aca="false">IF(AND(ISNUMBER(E59),ISNUMBER(H59)),H59-E59,"")</f>
        <v/>
      </c>
      <c r="J59" s="17"/>
    </row>
    <row r="60" customFormat="false" ht="19.5" hidden="false" customHeight="true" outlineLevel="0" collapsed="false">
      <c r="A60" s="23" t="str">
        <f aca="false">IF(B60="","",COUNTA($B$9:B60))</f>
        <v/>
      </c>
      <c r="B60" s="24"/>
      <c r="C60" s="25"/>
      <c r="D60" s="26"/>
      <c r="E60" s="27"/>
      <c r="F60" s="28" t="str">
        <f aca="true">IF(OR(B60="",E60=""),"",E60-TODAY())</f>
        <v/>
      </c>
      <c r="G60" s="29" t="str">
        <f aca="true">IF(B60="","",IF(E60="","Date TBC",IF(E60&lt;TODAY(),"Arrived",IF(E60-TODAY()&lt;=14,"Due ≤ 14 days",IF(E60-TODAY()&lt;=30,"Due ≤ 30 days","Upcoming")))))</f>
        <v/>
      </c>
      <c r="H60" s="30" t="str">
        <f aca="false">IF(OR(B60="",D60=""),"",IF(D60="New position","New position",IF(COUNTIF('EoM Sheet'!$B$9:$B$108,"*"&amp;D60)=0,"Not on EoM list",IF(_xlfn.MAXIFS('EoM Sheet'!$E$9:$E$108,'EoM Sheet'!$B$9:$B$108,"*"&amp;D60)=0,"Date TBC",_xlfn.MAXIFS('EoM Sheet'!$E$9:$E$108,'EoM Sheet'!$B$9:$B$108,"*"&amp;D60)))))</f>
        <v/>
      </c>
      <c r="I60" s="28" t="str">
        <f aca="false">IF(AND(ISNUMBER(E60),ISNUMBER(H60)),H60-E60,"")</f>
        <v/>
      </c>
      <c r="J60" s="25"/>
    </row>
    <row r="61" customFormat="false" ht="19.5" hidden="false" customHeight="true" outlineLevel="0" collapsed="false">
      <c r="A61" s="15" t="str">
        <f aca="false">IF(B61="","",COUNTA($B$9:B61))</f>
        <v/>
      </c>
      <c r="B61" s="16"/>
      <c r="C61" s="17"/>
      <c r="D61" s="18"/>
      <c r="E61" s="19"/>
      <c r="F61" s="20" t="str">
        <f aca="true">IF(OR(B61="",E61=""),"",E61-TODAY())</f>
        <v/>
      </c>
      <c r="G61" s="21" t="str">
        <f aca="true">IF(B61="","",IF(E61="","Date TBC",IF(E61&lt;TODAY(),"Arrived",IF(E61-TODAY()&lt;=14,"Due ≤ 14 days",IF(E61-TODAY()&lt;=30,"Due ≤ 30 days","Upcoming")))))</f>
        <v/>
      </c>
      <c r="H61" s="22" t="str">
        <f aca="false">IF(OR(B61="",D61=""),"",IF(D61="New position","New position",IF(COUNTIF('EoM Sheet'!$B$9:$B$108,"*"&amp;D61)=0,"Not on EoM list",IF(_xlfn.MAXIFS('EoM Sheet'!$E$9:$E$108,'EoM Sheet'!$B$9:$B$108,"*"&amp;D61)=0,"Date TBC",_xlfn.MAXIFS('EoM Sheet'!$E$9:$E$108,'EoM Sheet'!$B$9:$B$108,"*"&amp;D61)))))</f>
        <v/>
      </c>
      <c r="I61" s="20" t="str">
        <f aca="false">IF(AND(ISNUMBER(E61),ISNUMBER(H61)),H61-E61,"")</f>
        <v/>
      </c>
      <c r="J61" s="17"/>
    </row>
    <row r="62" customFormat="false" ht="19.5" hidden="false" customHeight="true" outlineLevel="0" collapsed="false">
      <c r="A62" s="23" t="str">
        <f aca="false">IF(B62="","",COUNTA($B$9:B62))</f>
        <v/>
      </c>
      <c r="B62" s="24"/>
      <c r="C62" s="25"/>
      <c r="D62" s="26"/>
      <c r="E62" s="27"/>
      <c r="F62" s="28" t="str">
        <f aca="true">IF(OR(B62="",E62=""),"",E62-TODAY())</f>
        <v/>
      </c>
      <c r="G62" s="29" t="str">
        <f aca="true">IF(B62="","",IF(E62="","Date TBC",IF(E62&lt;TODAY(),"Arrived",IF(E62-TODAY()&lt;=14,"Due ≤ 14 days",IF(E62-TODAY()&lt;=30,"Due ≤ 30 days","Upcoming")))))</f>
        <v/>
      </c>
      <c r="H62" s="30" t="str">
        <f aca="false">IF(OR(B62="",D62=""),"",IF(D62="New position","New position",IF(COUNTIF('EoM Sheet'!$B$9:$B$108,"*"&amp;D62)=0,"Not on EoM list",IF(_xlfn.MAXIFS('EoM Sheet'!$E$9:$E$108,'EoM Sheet'!$B$9:$B$108,"*"&amp;D62)=0,"Date TBC",_xlfn.MAXIFS('EoM Sheet'!$E$9:$E$108,'EoM Sheet'!$B$9:$B$108,"*"&amp;D62)))))</f>
        <v/>
      </c>
      <c r="I62" s="28" t="str">
        <f aca="false">IF(AND(ISNUMBER(E62),ISNUMBER(H62)),H62-E62,"")</f>
        <v/>
      </c>
      <c r="J62" s="25"/>
    </row>
    <row r="63" customFormat="false" ht="19.5" hidden="false" customHeight="true" outlineLevel="0" collapsed="false">
      <c r="A63" s="15" t="str">
        <f aca="false">IF(B63="","",COUNTA($B$9:B63))</f>
        <v/>
      </c>
      <c r="B63" s="16"/>
      <c r="C63" s="17"/>
      <c r="D63" s="18"/>
      <c r="E63" s="19"/>
      <c r="F63" s="20" t="str">
        <f aca="true">IF(OR(B63="",E63=""),"",E63-TODAY())</f>
        <v/>
      </c>
      <c r="G63" s="21" t="str">
        <f aca="true">IF(B63="","",IF(E63="","Date TBC",IF(E63&lt;TODAY(),"Arrived",IF(E63-TODAY()&lt;=14,"Due ≤ 14 days",IF(E63-TODAY()&lt;=30,"Due ≤ 30 days","Upcoming")))))</f>
        <v/>
      </c>
      <c r="H63" s="22" t="str">
        <f aca="false">IF(OR(B63="",D63=""),"",IF(D63="New position","New position",IF(COUNTIF('EoM Sheet'!$B$9:$B$108,"*"&amp;D63)=0,"Not on EoM list",IF(_xlfn.MAXIFS('EoM Sheet'!$E$9:$E$108,'EoM Sheet'!$B$9:$B$108,"*"&amp;D63)=0,"Date TBC",_xlfn.MAXIFS('EoM Sheet'!$E$9:$E$108,'EoM Sheet'!$B$9:$B$108,"*"&amp;D63)))))</f>
        <v/>
      </c>
      <c r="I63" s="20" t="str">
        <f aca="false">IF(AND(ISNUMBER(E63),ISNUMBER(H63)),H63-E63,"")</f>
        <v/>
      </c>
      <c r="J63" s="17"/>
    </row>
    <row r="64" customFormat="false" ht="19.5" hidden="false" customHeight="true" outlineLevel="0" collapsed="false">
      <c r="A64" s="23" t="str">
        <f aca="false">IF(B64="","",COUNTA($B$9:B64))</f>
        <v/>
      </c>
      <c r="B64" s="24"/>
      <c r="C64" s="25"/>
      <c r="D64" s="26"/>
      <c r="E64" s="27"/>
      <c r="F64" s="28" t="str">
        <f aca="true">IF(OR(B64="",E64=""),"",E64-TODAY())</f>
        <v/>
      </c>
      <c r="G64" s="29" t="str">
        <f aca="true">IF(B64="","",IF(E64="","Date TBC",IF(E64&lt;TODAY(),"Arrived",IF(E64-TODAY()&lt;=14,"Due ≤ 14 days",IF(E64-TODAY()&lt;=30,"Due ≤ 30 days","Upcoming")))))</f>
        <v/>
      </c>
      <c r="H64" s="30" t="str">
        <f aca="false">IF(OR(B64="",D64=""),"",IF(D64="New position","New position",IF(COUNTIF('EoM Sheet'!$B$9:$B$108,"*"&amp;D64)=0,"Not on EoM list",IF(_xlfn.MAXIFS('EoM Sheet'!$E$9:$E$108,'EoM Sheet'!$B$9:$B$108,"*"&amp;D64)=0,"Date TBC",_xlfn.MAXIFS('EoM Sheet'!$E$9:$E$108,'EoM Sheet'!$B$9:$B$108,"*"&amp;D64)))))</f>
        <v/>
      </c>
      <c r="I64" s="28" t="str">
        <f aca="false">IF(AND(ISNUMBER(E64),ISNUMBER(H64)),H64-E64,"")</f>
        <v/>
      </c>
      <c r="J64" s="25"/>
    </row>
    <row r="65" customFormat="false" ht="19.5" hidden="false" customHeight="true" outlineLevel="0" collapsed="false">
      <c r="A65" s="15" t="str">
        <f aca="false">IF(B65="","",COUNTA($B$9:B65))</f>
        <v/>
      </c>
      <c r="B65" s="16"/>
      <c r="C65" s="17"/>
      <c r="D65" s="18"/>
      <c r="E65" s="19"/>
      <c r="F65" s="20" t="str">
        <f aca="true">IF(OR(B65="",E65=""),"",E65-TODAY())</f>
        <v/>
      </c>
      <c r="G65" s="21" t="str">
        <f aca="true">IF(B65="","",IF(E65="","Date TBC",IF(E65&lt;TODAY(),"Arrived",IF(E65-TODAY()&lt;=14,"Due ≤ 14 days",IF(E65-TODAY()&lt;=30,"Due ≤ 30 days","Upcoming")))))</f>
        <v/>
      </c>
      <c r="H65" s="22" t="str">
        <f aca="false">IF(OR(B65="",D65=""),"",IF(D65="New position","New position",IF(COUNTIF('EoM Sheet'!$B$9:$B$108,"*"&amp;D65)=0,"Not on EoM list",IF(_xlfn.MAXIFS('EoM Sheet'!$E$9:$E$108,'EoM Sheet'!$B$9:$B$108,"*"&amp;D65)=0,"Date TBC",_xlfn.MAXIFS('EoM Sheet'!$E$9:$E$108,'EoM Sheet'!$B$9:$B$108,"*"&amp;D65)))))</f>
        <v/>
      </c>
      <c r="I65" s="20" t="str">
        <f aca="false">IF(AND(ISNUMBER(E65),ISNUMBER(H65)),H65-E65,"")</f>
        <v/>
      </c>
      <c r="J65" s="17"/>
    </row>
    <row r="66" customFormat="false" ht="19.5" hidden="false" customHeight="true" outlineLevel="0" collapsed="false">
      <c r="A66" s="23" t="str">
        <f aca="false">IF(B66="","",COUNTA($B$9:B66))</f>
        <v/>
      </c>
      <c r="B66" s="24"/>
      <c r="C66" s="25"/>
      <c r="D66" s="26"/>
      <c r="E66" s="27"/>
      <c r="F66" s="28" t="str">
        <f aca="true">IF(OR(B66="",E66=""),"",E66-TODAY())</f>
        <v/>
      </c>
      <c r="G66" s="29" t="str">
        <f aca="true">IF(B66="","",IF(E66="","Date TBC",IF(E66&lt;TODAY(),"Arrived",IF(E66-TODAY()&lt;=14,"Due ≤ 14 days",IF(E66-TODAY()&lt;=30,"Due ≤ 30 days","Upcoming")))))</f>
        <v/>
      </c>
      <c r="H66" s="30" t="str">
        <f aca="false">IF(OR(B66="",D66=""),"",IF(D66="New position","New position",IF(COUNTIF('EoM Sheet'!$B$9:$B$108,"*"&amp;D66)=0,"Not on EoM list",IF(_xlfn.MAXIFS('EoM Sheet'!$E$9:$E$108,'EoM Sheet'!$B$9:$B$108,"*"&amp;D66)=0,"Date TBC",_xlfn.MAXIFS('EoM Sheet'!$E$9:$E$108,'EoM Sheet'!$B$9:$B$108,"*"&amp;D66)))))</f>
        <v/>
      </c>
      <c r="I66" s="28" t="str">
        <f aca="false">IF(AND(ISNUMBER(E66),ISNUMBER(H66)),H66-E66,"")</f>
        <v/>
      </c>
      <c r="J66" s="25"/>
    </row>
    <row r="67" customFormat="false" ht="19.5" hidden="false" customHeight="true" outlineLevel="0" collapsed="false">
      <c r="A67" s="15" t="str">
        <f aca="false">IF(B67="","",COUNTA($B$9:B67))</f>
        <v/>
      </c>
      <c r="B67" s="16"/>
      <c r="C67" s="17"/>
      <c r="D67" s="18"/>
      <c r="E67" s="19"/>
      <c r="F67" s="20" t="str">
        <f aca="true">IF(OR(B67="",E67=""),"",E67-TODAY())</f>
        <v/>
      </c>
      <c r="G67" s="21" t="str">
        <f aca="true">IF(B67="","",IF(E67="","Date TBC",IF(E67&lt;TODAY(),"Arrived",IF(E67-TODAY()&lt;=14,"Due ≤ 14 days",IF(E67-TODAY()&lt;=30,"Due ≤ 30 days","Upcoming")))))</f>
        <v/>
      </c>
      <c r="H67" s="22" t="str">
        <f aca="false">IF(OR(B67="",D67=""),"",IF(D67="New position","New position",IF(COUNTIF('EoM Sheet'!$B$9:$B$108,"*"&amp;D67)=0,"Not on EoM list",IF(_xlfn.MAXIFS('EoM Sheet'!$E$9:$E$108,'EoM Sheet'!$B$9:$B$108,"*"&amp;D67)=0,"Date TBC",_xlfn.MAXIFS('EoM Sheet'!$E$9:$E$108,'EoM Sheet'!$B$9:$B$108,"*"&amp;D67)))))</f>
        <v/>
      </c>
      <c r="I67" s="20" t="str">
        <f aca="false">IF(AND(ISNUMBER(E67),ISNUMBER(H67)),H67-E67,"")</f>
        <v/>
      </c>
      <c r="J67" s="17"/>
    </row>
    <row r="68" customFormat="false" ht="19.5" hidden="false" customHeight="true" outlineLevel="0" collapsed="false">
      <c r="A68" s="23" t="str">
        <f aca="false">IF(B68="","",COUNTA($B$9:B68))</f>
        <v/>
      </c>
      <c r="B68" s="24"/>
      <c r="C68" s="25"/>
      <c r="D68" s="26"/>
      <c r="E68" s="27"/>
      <c r="F68" s="28" t="str">
        <f aca="true">IF(OR(B68="",E68=""),"",E68-TODAY())</f>
        <v/>
      </c>
      <c r="G68" s="29" t="str">
        <f aca="true">IF(B68="","",IF(E68="","Date TBC",IF(E68&lt;TODAY(),"Arrived",IF(E68-TODAY()&lt;=14,"Due ≤ 14 days",IF(E68-TODAY()&lt;=30,"Due ≤ 30 days","Upcoming")))))</f>
        <v/>
      </c>
      <c r="H68" s="30" t="str">
        <f aca="false">IF(OR(B68="",D68=""),"",IF(D68="New position","New position",IF(COUNTIF('EoM Sheet'!$B$9:$B$108,"*"&amp;D68)=0,"Not on EoM list",IF(_xlfn.MAXIFS('EoM Sheet'!$E$9:$E$108,'EoM Sheet'!$B$9:$B$108,"*"&amp;D68)=0,"Date TBC",_xlfn.MAXIFS('EoM Sheet'!$E$9:$E$108,'EoM Sheet'!$B$9:$B$108,"*"&amp;D68)))))</f>
        <v/>
      </c>
      <c r="I68" s="28" t="str">
        <f aca="false">IF(AND(ISNUMBER(E68),ISNUMBER(H68)),H68-E68,"")</f>
        <v/>
      </c>
      <c r="J68" s="25"/>
    </row>
    <row r="69" customFormat="false" ht="19.5" hidden="false" customHeight="true" outlineLevel="0" collapsed="false">
      <c r="A69" s="15" t="str">
        <f aca="false">IF(B69="","",COUNTA($B$9:B69))</f>
        <v/>
      </c>
      <c r="B69" s="16"/>
      <c r="C69" s="17"/>
      <c r="D69" s="18"/>
      <c r="E69" s="19"/>
      <c r="F69" s="20" t="str">
        <f aca="true">IF(OR(B69="",E69=""),"",E69-TODAY())</f>
        <v/>
      </c>
      <c r="G69" s="21" t="str">
        <f aca="true">IF(B69="","",IF(E69="","Date TBC",IF(E69&lt;TODAY(),"Arrived",IF(E69-TODAY()&lt;=14,"Due ≤ 14 days",IF(E69-TODAY()&lt;=30,"Due ≤ 30 days","Upcoming")))))</f>
        <v/>
      </c>
      <c r="H69" s="22" t="str">
        <f aca="false">IF(OR(B69="",D69=""),"",IF(D69="New position","New position",IF(COUNTIF('EoM Sheet'!$B$9:$B$108,"*"&amp;D69)=0,"Not on EoM list",IF(_xlfn.MAXIFS('EoM Sheet'!$E$9:$E$108,'EoM Sheet'!$B$9:$B$108,"*"&amp;D69)=0,"Date TBC",_xlfn.MAXIFS('EoM Sheet'!$E$9:$E$108,'EoM Sheet'!$B$9:$B$108,"*"&amp;D69)))))</f>
        <v/>
      </c>
      <c r="I69" s="20" t="str">
        <f aca="false">IF(AND(ISNUMBER(E69),ISNUMBER(H69)),H69-E69,"")</f>
        <v/>
      </c>
      <c r="J69" s="17"/>
    </row>
    <row r="70" customFormat="false" ht="19.5" hidden="false" customHeight="true" outlineLevel="0" collapsed="false">
      <c r="A70" s="23" t="str">
        <f aca="false">IF(B70="","",COUNTA($B$9:B70))</f>
        <v/>
      </c>
      <c r="B70" s="24"/>
      <c r="C70" s="25"/>
      <c r="D70" s="26"/>
      <c r="E70" s="27"/>
      <c r="F70" s="28" t="str">
        <f aca="true">IF(OR(B70="",E70=""),"",E70-TODAY())</f>
        <v/>
      </c>
      <c r="G70" s="29" t="str">
        <f aca="true">IF(B70="","",IF(E70="","Date TBC",IF(E70&lt;TODAY(),"Arrived",IF(E70-TODAY()&lt;=14,"Due ≤ 14 days",IF(E70-TODAY()&lt;=30,"Due ≤ 30 days","Upcoming")))))</f>
        <v/>
      </c>
      <c r="H70" s="30" t="str">
        <f aca="false">IF(OR(B70="",D70=""),"",IF(D70="New position","New position",IF(COUNTIF('EoM Sheet'!$B$9:$B$108,"*"&amp;D70)=0,"Not on EoM list",IF(_xlfn.MAXIFS('EoM Sheet'!$E$9:$E$108,'EoM Sheet'!$B$9:$B$108,"*"&amp;D70)=0,"Date TBC",_xlfn.MAXIFS('EoM Sheet'!$E$9:$E$108,'EoM Sheet'!$B$9:$B$108,"*"&amp;D70)))))</f>
        <v/>
      </c>
      <c r="I70" s="28" t="str">
        <f aca="false">IF(AND(ISNUMBER(E70),ISNUMBER(H70)),H70-E70,"")</f>
        <v/>
      </c>
      <c r="J70" s="25"/>
    </row>
    <row r="71" customFormat="false" ht="19.5" hidden="false" customHeight="true" outlineLevel="0" collapsed="false">
      <c r="A71" s="15" t="str">
        <f aca="false">IF(B71="","",COUNTA($B$9:B71))</f>
        <v/>
      </c>
      <c r="B71" s="16"/>
      <c r="C71" s="17"/>
      <c r="D71" s="18"/>
      <c r="E71" s="19"/>
      <c r="F71" s="20" t="str">
        <f aca="true">IF(OR(B71="",E71=""),"",E71-TODAY())</f>
        <v/>
      </c>
      <c r="G71" s="21" t="str">
        <f aca="true">IF(B71="","",IF(E71="","Date TBC",IF(E71&lt;TODAY(),"Arrived",IF(E71-TODAY()&lt;=14,"Due ≤ 14 days",IF(E71-TODAY()&lt;=30,"Due ≤ 30 days","Upcoming")))))</f>
        <v/>
      </c>
      <c r="H71" s="22" t="str">
        <f aca="false">IF(OR(B71="",D71=""),"",IF(D71="New position","New position",IF(COUNTIF('EoM Sheet'!$B$9:$B$108,"*"&amp;D71)=0,"Not on EoM list",IF(_xlfn.MAXIFS('EoM Sheet'!$E$9:$E$108,'EoM Sheet'!$B$9:$B$108,"*"&amp;D71)=0,"Date TBC",_xlfn.MAXIFS('EoM Sheet'!$E$9:$E$108,'EoM Sheet'!$B$9:$B$108,"*"&amp;D71)))))</f>
        <v/>
      </c>
      <c r="I71" s="20" t="str">
        <f aca="false">IF(AND(ISNUMBER(E71),ISNUMBER(H71)),H71-E71,"")</f>
        <v/>
      </c>
      <c r="J71" s="17"/>
    </row>
    <row r="72" customFormat="false" ht="19.5" hidden="false" customHeight="true" outlineLevel="0" collapsed="false">
      <c r="A72" s="23" t="str">
        <f aca="false">IF(B72="","",COUNTA($B$9:B72))</f>
        <v/>
      </c>
      <c r="B72" s="24"/>
      <c r="C72" s="25"/>
      <c r="D72" s="26"/>
      <c r="E72" s="27"/>
      <c r="F72" s="28" t="str">
        <f aca="true">IF(OR(B72="",E72=""),"",E72-TODAY())</f>
        <v/>
      </c>
      <c r="G72" s="29" t="str">
        <f aca="true">IF(B72="","",IF(E72="","Date TBC",IF(E72&lt;TODAY(),"Arrived",IF(E72-TODAY()&lt;=14,"Due ≤ 14 days",IF(E72-TODAY()&lt;=30,"Due ≤ 30 days","Upcoming")))))</f>
        <v/>
      </c>
      <c r="H72" s="30" t="str">
        <f aca="false">IF(OR(B72="",D72=""),"",IF(D72="New position","New position",IF(COUNTIF('EoM Sheet'!$B$9:$B$108,"*"&amp;D72)=0,"Not on EoM list",IF(_xlfn.MAXIFS('EoM Sheet'!$E$9:$E$108,'EoM Sheet'!$B$9:$B$108,"*"&amp;D72)=0,"Date TBC",_xlfn.MAXIFS('EoM Sheet'!$E$9:$E$108,'EoM Sheet'!$B$9:$B$108,"*"&amp;D72)))))</f>
        <v/>
      </c>
      <c r="I72" s="28" t="str">
        <f aca="false">IF(AND(ISNUMBER(E72),ISNUMBER(H72)),H72-E72,"")</f>
        <v/>
      </c>
      <c r="J72" s="25"/>
    </row>
    <row r="73" customFormat="false" ht="19.5" hidden="false" customHeight="true" outlineLevel="0" collapsed="false">
      <c r="A73" s="15" t="str">
        <f aca="false">IF(B73="","",COUNTA($B$9:B73))</f>
        <v/>
      </c>
      <c r="B73" s="16"/>
      <c r="C73" s="17"/>
      <c r="D73" s="18"/>
      <c r="E73" s="19"/>
      <c r="F73" s="20" t="str">
        <f aca="true">IF(OR(B73="",E73=""),"",E73-TODAY())</f>
        <v/>
      </c>
      <c r="G73" s="21" t="str">
        <f aca="true">IF(B73="","",IF(E73="","Date TBC",IF(E73&lt;TODAY(),"Arrived",IF(E73-TODAY()&lt;=14,"Due ≤ 14 days",IF(E73-TODAY()&lt;=30,"Due ≤ 30 days","Upcoming")))))</f>
        <v/>
      </c>
      <c r="H73" s="22" t="str">
        <f aca="false">IF(OR(B73="",D73=""),"",IF(D73="New position","New position",IF(COUNTIF('EoM Sheet'!$B$9:$B$108,"*"&amp;D73)=0,"Not on EoM list",IF(_xlfn.MAXIFS('EoM Sheet'!$E$9:$E$108,'EoM Sheet'!$B$9:$B$108,"*"&amp;D73)=0,"Date TBC",_xlfn.MAXIFS('EoM Sheet'!$E$9:$E$108,'EoM Sheet'!$B$9:$B$108,"*"&amp;D73)))))</f>
        <v/>
      </c>
      <c r="I73" s="20" t="str">
        <f aca="false">IF(AND(ISNUMBER(E73),ISNUMBER(H73)),H73-E73,"")</f>
        <v/>
      </c>
      <c r="J73" s="17"/>
    </row>
    <row r="74" customFormat="false" ht="19.5" hidden="false" customHeight="true" outlineLevel="0" collapsed="false">
      <c r="A74" s="23" t="str">
        <f aca="false">IF(B74="","",COUNTA($B$9:B74))</f>
        <v/>
      </c>
      <c r="B74" s="24"/>
      <c r="C74" s="25"/>
      <c r="D74" s="26"/>
      <c r="E74" s="27"/>
      <c r="F74" s="28" t="str">
        <f aca="true">IF(OR(B74="",E74=""),"",E74-TODAY())</f>
        <v/>
      </c>
      <c r="G74" s="29" t="str">
        <f aca="true">IF(B74="","",IF(E74="","Date TBC",IF(E74&lt;TODAY(),"Arrived",IF(E74-TODAY()&lt;=14,"Due ≤ 14 days",IF(E74-TODAY()&lt;=30,"Due ≤ 30 days","Upcoming")))))</f>
        <v/>
      </c>
      <c r="H74" s="30" t="str">
        <f aca="false">IF(OR(B74="",D74=""),"",IF(D74="New position","New position",IF(COUNTIF('EoM Sheet'!$B$9:$B$108,"*"&amp;D74)=0,"Not on EoM list",IF(_xlfn.MAXIFS('EoM Sheet'!$E$9:$E$108,'EoM Sheet'!$B$9:$B$108,"*"&amp;D74)=0,"Date TBC",_xlfn.MAXIFS('EoM Sheet'!$E$9:$E$108,'EoM Sheet'!$B$9:$B$108,"*"&amp;D74)))))</f>
        <v/>
      </c>
      <c r="I74" s="28" t="str">
        <f aca="false">IF(AND(ISNUMBER(E74),ISNUMBER(H74)),H74-E74,"")</f>
        <v/>
      </c>
      <c r="J74" s="25"/>
    </row>
    <row r="75" customFormat="false" ht="19.5" hidden="false" customHeight="true" outlineLevel="0" collapsed="false">
      <c r="A75" s="15" t="str">
        <f aca="false">IF(B75="","",COUNTA($B$9:B75))</f>
        <v/>
      </c>
      <c r="B75" s="16"/>
      <c r="C75" s="17"/>
      <c r="D75" s="18"/>
      <c r="E75" s="19"/>
      <c r="F75" s="20" t="str">
        <f aca="true">IF(OR(B75="",E75=""),"",E75-TODAY())</f>
        <v/>
      </c>
      <c r="G75" s="21" t="str">
        <f aca="true">IF(B75="","",IF(E75="","Date TBC",IF(E75&lt;TODAY(),"Arrived",IF(E75-TODAY()&lt;=14,"Due ≤ 14 days",IF(E75-TODAY()&lt;=30,"Due ≤ 30 days","Upcoming")))))</f>
        <v/>
      </c>
      <c r="H75" s="22" t="str">
        <f aca="false">IF(OR(B75="",D75=""),"",IF(D75="New position","New position",IF(COUNTIF('EoM Sheet'!$B$9:$B$108,"*"&amp;D75)=0,"Not on EoM list",IF(_xlfn.MAXIFS('EoM Sheet'!$E$9:$E$108,'EoM Sheet'!$B$9:$B$108,"*"&amp;D75)=0,"Date TBC",_xlfn.MAXIFS('EoM Sheet'!$E$9:$E$108,'EoM Sheet'!$B$9:$B$108,"*"&amp;D75)))))</f>
        <v/>
      </c>
      <c r="I75" s="20" t="str">
        <f aca="false">IF(AND(ISNUMBER(E75),ISNUMBER(H75)),H75-E75,"")</f>
        <v/>
      </c>
      <c r="J75" s="17"/>
    </row>
    <row r="76" customFormat="false" ht="19.5" hidden="false" customHeight="true" outlineLevel="0" collapsed="false">
      <c r="A76" s="23" t="str">
        <f aca="false">IF(B76="","",COUNTA($B$9:B76))</f>
        <v/>
      </c>
      <c r="B76" s="24"/>
      <c r="C76" s="25"/>
      <c r="D76" s="26"/>
      <c r="E76" s="27"/>
      <c r="F76" s="28" t="str">
        <f aca="true">IF(OR(B76="",E76=""),"",E76-TODAY())</f>
        <v/>
      </c>
      <c r="G76" s="29" t="str">
        <f aca="true">IF(B76="","",IF(E76="","Date TBC",IF(E76&lt;TODAY(),"Arrived",IF(E76-TODAY()&lt;=14,"Due ≤ 14 days",IF(E76-TODAY()&lt;=30,"Due ≤ 30 days","Upcoming")))))</f>
        <v/>
      </c>
      <c r="H76" s="30" t="str">
        <f aca="false">IF(OR(B76="",D76=""),"",IF(D76="New position","New position",IF(COUNTIF('EoM Sheet'!$B$9:$B$108,"*"&amp;D76)=0,"Not on EoM list",IF(_xlfn.MAXIFS('EoM Sheet'!$E$9:$E$108,'EoM Sheet'!$B$9:$B$108,"*"&amp;D76)=0,"Date TBC",_xlfn.MAXIFS('EoM Sheet'!$E$9:$E$108,'EoM Sheet'!$B$9:$B$108,"*"&amp;D76)))))</f>
        <v/>
      </c>
      <c r="I76" s="28" t="str">
        <f aca="false">IF(AND(ISNUMBER(E76),ISNUMBER(H76)),H76-E76,"")</f>
        <v/>
      </c>
      <c r="J76" s="25"/>
    </row>
    <row r="77" customFormat="false" ht="19.5" hidden="false" customHeight="true" outlineLevel="0" collapsed="false">
      <c r="A77" s="15" t="str">
        <f aca="false">IF(B77="","",COUNTA($B$9:B77))</f>
        <v/>
      </c>
      <c r="B77" s="16"/>
      <c r="C77" s="17"/>
      <c r="D77" s="18"/>
      <c r="E77" s="19"/>
      <c r="F77" s="20" t="str">
        <f aca="true">IF(OR(B77="",E77=""),"",E77-TODAY())</f>
        <v/>
      </c>
      <c r="G77" s="21" t="str">
        <f aca="true">IF(B77="","",IF(E77="","Date TBC",IF(E77&lt;TODAY(),"Arrived",IF(E77-TODAY()&lt;=14,"Due ≤ 14 days",IF(E77-TODAY()&lt;=30,"Due ≤ 30 days","Upcoming")))))</f>
        <v/>
      </c>
      <c r="H77" s="22" t="str">
        <f aca="false">IF(OR(B77="",D77=""),"",IF(D77="New position","New position",IF(COUNTIF('EoM Sheet'!$B$9:$B$108,"*"&amp;D77)=0,"Not on EoM list",IF(_xlfn.MAXIFS('EoM Sheet'!$E$9:$E$108,'EoM Sheet'!$B$9:$B$108,"*"&amp;D77)=0,"Date TBC",_xlfn.MAXIFS('EoM Sheet'!$E$9:$E$108,'EoM Sheet'!$B$9:$B$108,"*"&amp;D77)))))</f>
        <v/>
      </c>
      <c r="I77" s="20" t="str">
        <f aca="false">IF(AND(ISNUMBER(E77),ISNUMBER(H77)),H77-E77,"")</f>
        <v/>
      </c>
      <c r="J77" s="17"/>
    </row>
    <row r="78" customFormat="false" ht="19.5" hidden="false" customHeight="true" outlineLevel="0" collapsed="false">
      <c r="A78" s="23" t="str">
        <f aca="false">IF(B78="","",COUNTA($B$9:B78))</f>
        <v/>
      </c>
      <c r="B78" s="24"/>
      <c r="C78" s="25"/>
      <c r="D78" s="26"/>
      <c r="E78" s="27"/>
      <c r="F78" s="28" t="str">
        <f aca="true">IF(OR(B78="",E78=""),"",E78-TODAY())</f>
        <v/>
      </c>
      <c r="G78" s="29" t="str">
        <f aca="true">IF(B78="","",IF(E78="","Date TBC",IF(E78&lt;TODAY(),"Arrived",IF(E78-TODAY()&lt;=14,"Due ≤ 14 days",IF(E78-TODAY()&lt;=30,"Due ≤ 30 days","Upcoming")))))</f>
        <v/>
      </c>
      <c r="H78" s="30" t="str">
        <f aca="false">IF(OR(B78="",D78=""),"",IF(D78="New position","New position",IF(COUNTIF('EoM Sheet'!$B$9:$B$108,"*"&amp;D78)=0,"Not on EoM list",IF(_xlfn.MAXIFS('EoM Sheet'!$E$9:$E$108,'EoM Sheet'!$B$9:$B$108,"*"&amp;D78)=0,"Date TBC",_xlfn.MAXIFS('EoM Sheet'!$E$9:$E$108,'EoM Sheet'!$B$9:$B$108,"*"&amp;D78)))))</f>
        <v/>
      </c>
      <c r="I78" s="28" t="str">
        <f aca="false">IF(AND(ISNUMBER(E78),ISNUMBER(H78)),H78-E78,"")</f>
        <v/>
      </c>
      <c r="J78" s="25"/>
    </row>
    <row r="79" customFormat="false" ht="19.5" hidden="false" customHeight="true" outlineLevel="0" collapsed="false">
      <c r="A79" s="15" t="str">
        <f aca="false">IF(B79="","",COUNTA($B$9:B79))</f>
        <v/>
      </c>
      <c r="B79" s="16"/>
      <c r="C79" s="17"/>
      <c r="D79" s="18"/>
      <c r="E79" s="19"/>
      <c r="F79" s="20" t="str">
        <f aca="true">IF(OR(B79="",E79=""),"",E79-TODAY())</f>
        <v/>
      </c>
      <c r="G79" s="21" t="str">
        <f aca="true">IF(B79="","",IF(E79="","Date TBC",IF(E79&lt;TODAY(),"Arrived",IF(E79-TODAY()&lt;=14,"Due ≤ 14 days",IF(E79-TODAY()&lt;=30,"Due ≤ 30 days","Upcoming")))))</f>
        <v/>
      </c>
      <c r="H79" s="22" t="str">
        <f aca="false">IF(OR(B79="",D79=""),"",IF(D79="New position","New position",IF(COUNTIF('EoM Sheet'!$B$9:$B$108,"*"&amp;D79)=0,"Not on EoM list",IF(_xlfn.MAXIFS('EoM Sheet'!$E$9:$E$108,'EoM Sheet'!$B$9:$B$108,"*"&amp;D79)=0,"Date TBC",_xlfn.MAXIFS('EoM Sheet'!$E$9:$E$108,'EoM Sheet'!$B$9:$B$108,"*"&amp;D79)))))</f>
        <v/>
      </c>
      <c r="I79" s="20" t="str">
        <f aca="false">IF(AND(ISNUMBER(E79),ISNUMBER(H79)),H79-E79,"")</f>
        <v/>
      </c>
      <c r="J79" s="17"/>
    </row>
    <row r="80" customFormat="false" ht="19.5" hidden="false" customHeight="true" outlineLevel="0" collapsed="false">
      <c r="A80" s="23" t="str">
        <f aca="false">IF(B80="","",COUNTA($B$9:B80))</f>
        <v/>
      </c>
      <c r="B80" s="24"/>
      <c r="C80" s="25"/>
      <c r="D80" s="26"/>
      <c r="E80" s="27"/>
      <c r="F80" s="28" t="str">
        <f aca="true">IF(OR(B80="",E80=""),"",E80-TODAY())</f>
        <v/>
      </c>
      <c r="G80" s="29" t="str">
        <f aca="true">IF(B80="","",IF(E80="","Date TBC",IF(E80&lt;TODAY(),"Arrived",IF(E80-TODAY()&lt;=14,"Due ≤ 14 days",IF(E80-TODAY()&lt;=30,"Due ≤ 30 days","Upcoming")))))</f>
        <v/>
      </c>
      <c r="H80" s="30" t="str">
        <f aca="false">IF(OR(B80="",D80=""),"",IF(D80="New position","New position",IF(COUNTIF('EoM Sheet'!$B$9:$B$108,"*"&amp;D80)=0,"Not on EoM list",IF(_xlfn.MAXIFS('EoM Sheet'!$E$9:$E$108,'EoM Sheet'!$B$9:$B$108,"*"&amp;D80)=0,"Date TBC",_xlfn.MAXIFS('EoM Sheet'!$E$9:$E$108,'EoM Sheet'!$B$9:$B$108,"*"&amp;D80)))))</f>
        <v/>
      </c>
      <c r="I80" s="28" t="str">
        <f aca="false">IF(AND(ISNUMBER(E80),ISNUMBER(H80)),H80-E80,"")</f>
        <v/>
      </c>
      <c r="J80" s="25"/>
    </row>
    <row r="81" customFormat="false" ht="19.5" hidden="false" customHeight="true" outlineLevel="0" collapsed="false">
      <c r="A81" s="15" t="str">
        <f aca="false">IF(B81="","",COUNTA($B$9:B81))</f>
        <v/>
      </c>
      <c r="B81" s="16"/>
      <c r="C81" s="17"/>
      <c r="D81" s="18"/>
      <c r="E81" s="19"/>
      <c r="F81" s="20" t="str">
        <f aca="true">IF(OR(B81="",E81=""),"",E81-TODAY())</f>
        <v/>
      </c>
      <c r="G81" s="21" t="str">
        <f aca="true">IF(B81="","",IF(E81="","Date TBC",IF(E81&lt;TODAY(),"Arrived",IF(E81-TODAY()&lt;=14,"Due ≤ 14 days",IF(E81-TODAY()&lt;=30,"Due ≤ 30 days","Upcoming")))))</f>
        <v/>
      </c>
      <c r="H81" s="22" t="str">
        <f aca="false">IF(OR(B81="",D81=""),"",IF(D81="New position","New position",IF(COUNTIF('EoM Sheet'!$B$9:$B$108,"*"&amp;D81)=0,"Not on EoM list",IF(_xlfn.MAXIFS('EoM Sheet'!$E$9:$E$108,'EoM Sheet'!$B$9:$B$108,"*"&amp;D81)=0,"Date TBC",_xlfn.MAXIFS('EoM Sheet'!$E$9:$E$108,'EoM Sheet'!$B$9:$B$108,"*"&amp;D81)))))</f>
        <v/>
      </c>
      <c r="I81" s="20" t="str">
        <f aca="false">IF(AND(ISNUMBER(E81),ISNUMBER(H81)),H81-E81,"")</f>
        <v/>
      </c>
      <c r="J81" s="17"/>
    </row>
    <row r="82" customFormat="false" ht="19.5" hidden="false" customHeight="true" outlineLevel="0" collapsed="false">
      <c r="A82" s="23" t="str">
        <f aca="false">IF(B82="","",COUNTA($B$9:B82))</f>
        <v/>
      </c>
      <c r="B82" s="24"/>
      <c r="C82" s="25"/>
      <c r="D82" s="26"/>
      <c r="E82" s="27"/>
      <c r="F82" s="28" t="str">
        <f aca="true">IF(OR(B82="",E82=""),"",E82-TODAY())</f>
        <v/>
      </c>
      <c r="G82" s="29" t="str">
        <f aca="true">IF(B82="","",IF(E82="","Date TBC",IF(E82&lt;TODAY(),"Arrived",IF(E82-TODAY()&lt;=14,"Due ≤ 14 days",IF(E82-TODAY()&lt;=30,"Due ≤ 30 days","Upcoming")))))</f>
        <v/>
      </c>
      <c r="H82" s="30" t="str">
        <f aca="false">IF(OR(B82="",D82=""),"",IF(D82="New position","New position",IF(COUNTIF('EoM Sheet'!$B$9:$B$108,"*"&amp;D82)=0,"Not on EoM list",IF(_xlfn.MAXIFS('EoM Sheet'!$E$9:$E$108,'EoM Sheet'!$B$9:$B$108,"*"&amp;D82)=0,"Date TBC",_xlfn.MAXIFS('EoM Sheet'!$E$9:$E$108,'EoM Sheet'!$B$9:$B$108,"*"&amp;D82)))))</f>
        <v/>
      </c>
      <c r="I82" s="28" t="str">
        <f aca="false">IF(AND(ISNUMBER(E82),ISNUMBER(H82)),H82-E82,"")</f>
        <v/>
      </c>
      <c r="J82" s="25"/>
    </row>
    <row r="83" customFormat="false" ht="19.5" hidden="false" customHeight="true" outlineLevel="0" collapsed="false">
      <c r="A83" s="15" t="str">
        <f aca="false">IF(B83="","",COUNTA($B$9:B83))</f>
        <v/>
      </c>
      <c r="B83" s="16"/>
      <c r="C83" s="17"/>
      <c r="D83" s="18"/>
      <c r="E83" s="19"/>
      <c r="F83" s="20" t="str">
        <f aca="true">IF(OR(B83="",E83=""),"",E83-TODAY())</f>
        <v/>
      </c>
      <c r="G83" s="21" t="str">
        <f aca="true">IF(B83="","",IF(E83="","Date TBC",IF(E83&lt;TODAY(),"Arrived",IF(E83-TODAY()&lt;=14,"Due ≤ 14 days",IF(E83-TODAY()&lt;=30,"Due ≤ 30 days","Upcoming")))))</f>
        <v/>
      </c>
      <c r="H83" s="22" t="str">
        <f aca="false">IF(OR(B83="",D83=""),"",IF(D83="New position","New position",IF(COUNTIF('EoM Sheet'!$B$9:$B$108,"*"&amp;D83)=0,"Not on EoM list",IF(_xlfn.MAXIFS('EoM Sheet'!$E$9:$E$108,'EoM Sheet'!$B$9:$B$108,"*"&amp;D83)=0,"Date TBC",_xlfn.MAXIFS('EoM Sheet'!$E$9:$E$108,'EoM Sheet'!$B$9:$B$108,"*"&amp;D83)))))</f>
        <v/>
      </c>
      <c r="I83" s="20" t="str">
        <f aca="false">IF(AND(ISNUMBER(E83),ISNUMBER(H83)),H83-E83,"")</f>
        <v/>
      </c>
      <c r="J83" s="17"/>
    </row>
    <row r="84" customFormat="false" ht="19.5" hidden="false" customHeight="true" outlineLevel="0" collapsed="false">
      <c r="A84" s="23" t="str">
        <f aca="false">IF(B84="","",COUNTA($B$9:B84))</f>
        <v/>
      </c>
      <c r="B84" s="24"/>
      <c r="C84" s="25"/>
      <c r="D84" s="26"/>
      <c r="E84" s="27"/>
      <c r="F84" s="28" t="str">
        <f aca="true">IF(OR(B84="",E84=""),"",E84-TODAY())</f>
        <v/>
      </c>
      <c r="G84" s="29" t="str">
        <f aca="true">IF(B84="","",IF(E84="","Date TBC",IF(E84&lt;TODAY(),"Arrived",IF(E84-TODAY()&lt;=14,"Due ≤ 14 days",IF(E84-TODAY()&lt;=30,"Due ≤ 30 days","Upcoming")))))</f>
        <v/>
      </c>
      <c r="H84" s="30" t="str">
        <f aca="false">IF(OR(B84="",D84=""),"",IF(D84="New position","New position",IF(COUNTIF('EoM Sheet'!$B$9:$B$108,"*"&amp;D84)=0,"Not on EoM list",IF(_xlfn.MAXIFS('EoM Sheet'!$E$9:$E$108,'EoM Sheet'!$B$9:$B$108,"*"&amp;D84)=0,"Date TBC",_xlfn.MAXIFS('EoM Sheet'!$E$9:$E$108,'EoM Sheet'!$B$9:$B$108,"*"&amp;D84)))))</f>
        <v/>
      </c>
      <c r="I84" s="28" t="str">
        <f aca="false">IF(AND(ISNUMBER(E84),ISNUMBER(H84)),H84-E84,"")</f>
        <v/>
      </c>
      <c r="J84" s="25"/>
    </row>
    <row r="85" customFormat="false" ht="19.5" hidden="false" customHeight="true" outlineLevel="0" collapsed="false">
      <c r="A85" s="15" t="str">
        <f aca="false">IF(B85="","",COUNTA($B$9:B85))</f>
        <v/>
      </c>
      <c r="B85" s="16"/>
      <c r="C85" s="17"/>
      <c r="D85" s="18"/>
      <c r="E85" s="19"/>
      <c r="F85" s="20" t="str">
        <f aca="true">IF(OR(B85="",E85=""),"",E85-TODAY())</f>
        <v/>
      </c>
      <c r="G85" s="21" t="str">
        <f aca="true">IF(B85="","",IF(E85="","Date TBC",IF(E85&lt;TODAY(),"Arrived",IF(E85-TODAY()&lt;=14,"Due ≤ 14 days",IF(E85-TODAY()&lt;=30,"Due ≤ 30 days","Upcoming")))))</f>
        <v/>
      </c>
      <c r="H85" s="22" t="str">
        <f aca="false">IF(OR(B85="",D85=""),"",IF(D85="New position","New position",IF(COUNTIF('EoM Sheet'!$B$9:$B$108,"*"&amp;D85)=0,"Not on EoM list",IF(_xlfn.MAXIFS('EoM Sheet'!$E$9:$E$108,'EoM Sheet'!$B$9:$B$108,"*"&amp;D85)=0,"Date TBC",_xlfn.MAXIFS('EoM Sheet'!$E$9:$E$108,'EoM Sheet'!$B$9:$B$108,"*"&amp;D85)))))</f>
        <v/>
      </c>
      <c r="I85" s="20" t="str">
        <f aca="false">IF(AND(ISNUMBER(E85),ISNUMBER(H85)),H85-E85,"")</f>
        <v/>
      </c>
      <c r="J85" s="17"/>
    </row>
    <row r="86" customFormat="false" ht="19.5" hidden="false" customHeight="true" outlineLevel="0" collapsed="false">
      <c r="A86" s="23" t="str">
        <f aca="false">IF(B86="","",COUNTA($B$9:B86))</f>
        <v/>
      </c>
      <c r="B86" s="24"/>
      <c r="C86" s="25"/>
      <c r="D86" s="26"/>
      <c r="E86" s="27"/>
      <c r="F86" s="28" t="str">
        <f aca="true">IF(OR(B86="",E86=""),"",E86-TODAY())</f>
        <v/>
      </c>
      <c r="G86" s="29" t="str">
        <f aca="true">IF(B86="","",IF(E86="","Date TBC",IF(E86&lt;TODAY(),"Arrived",IF(E86-TODAY()&lt;=14,"Due ≤ 14 days",IF(E86-TODAY()&lt;=30,"Due ≤ 30 days","Upcoming")))))</f>
        <v/>
      </c>
      <c r="H86" s="30" t="str">
        <f aca="false">IF(OR(B86="",D86=""),"",IF(D86="New position","New position",IF(COUNTIF('EoM Sheet'!$B$9:$B$108,"*"&amp;D86)=0,"Not on EoM list",IF(_xlfn.MAXIFS('EoM Sheet'!$E$9:$E$108,'EoM Sheet'!$B$9:$B$108,"*"&amp;D86)=0,"Date TBC",_xlfn.MAXIFS('EoM Sheet'!$E$9:$E$108,'EoM Sheet'!$B$9:$B$108,"*"&amp;D86)))))</f>
        <v/>
      </c>
      <c r="I86" s="28" t="str">
        <f aca="false">IF(AND(ISNUMBER(E86),ISNUMBER(H86)),H86-E86,"")</f>
        <v/>
      </c>
      <c r="J86" s="25"/>
    </row>
    <row r="87" customFormat="false" ht="19.5" hidden="false" customHeight="true" outlineLevel="0" collapsed="false">
      <c r="A87" s="15" t="str">
        <f aca="false">IF(B87="","",COUNTA($B$9:B87))</f>
        <v/>
      </c>
      <c r="B87" s="16"/>
      <c r="C87" s="17"/>
      <c r="D87" s="18"/>
      <c r="E87" s="19"/>
      <c r="F87" s="20" t="str">
        <f aca="true">IF(OR(B87="",E87=""),"",E87-TODAY())</f>
        <v/>
      </c>
      <c r="G87" s="21" t="str">
        <f aca="true">IF(B87="","",IF(E87="","Date TBC",IF(E87&lt;TODAY(),"Arrived",IF(E87-TODAY()&lt;=14,"Due ≤ 14 days",IF(E87-TODAY()&lt;=30,"Due ≤ 30 days","Upcoming")))))</f>
        <v/>
      </c>
      <c r="H87" s="22" t="str">
        <f aca="false">IF(OR(B87="",D87=""),"",IF(D87="New position","New position",IF(COUNTIF('EoM Sheet'!$B$9:$B$108,"*"&amp;D87)=0,"Not on EoM list",IF(_xlfn.MAXIFS('EoM Sheet'!$E$9:$E$108,'EoM Sheet'!$B$9:$B$108,"*"&amp;D87)=0,"Date TBC",_xlfn.MAXIFS('EoM Sheet'!$E$9:$E$108,'EoM Sheet'!$B$9:$B$108,"*"&amp;D87)))))</f>
        <v/>
      </c>
      <c r="I87" s="20" t="str">
        <f aca="false">IF(AND(ISNUMBER(E87),ISNUMBER(H87)),H87-E87,"")</f>
        <v/>
      </c>
      <c r="J87" s="17"/>
    </row>
    <row r="88" customFormat="false" ht="19.5" hidden="false" customHeight="true" outlineLevel="0" collapsed="false">
      <c r="A88" s="23" t="str">
        <f aca="false">IF(B88="","",COUNTA($B$9:B88))</f>
        <v/>
      </c>
      <c r="B88" s="24"/>
      <c r="C88" s="25"/>
      <c r="D88" s="26"/>
      <c r="E88" s="27"/>
      <c r="F88" s="28" t="str">
        <f aca="true">IF(OR(B88="",E88=""),"",E88-TODAY())</f>
        <v/>
      </c>
      <c r="G88" s="29" t="str">
        <f aca="true">IF(B88="","",IF(E88="","Date TBC",IF(E88&lt;TODAY(),"Arrived",IF(E88-TODAY()&lt;=14,"Due ≤ 14 days",IF(E88-TODAY()&lt;=30,"Due ≤ 30 days","Upcoming")))))</f>
        <v/>
      </c>
      <c r="H88" s="30" t="str">
        <f aca="false">IF(OR(B88="",D88=""),"",IF(D88="New position","New position",IF(COUNTIF('EoM Sheet'!$B$9:$B$108,"*"&amp;D88)=0,"Not on EoM list",IF(_xlfn.MAXIFS('EoM Sheet'!$E$9:$E$108,'EoM Sheet'!$B$9:$B$108,"*"&amp;D88)=0,"Date TBC",_xlfn.MAXIFS('EoM Sheet'!$E$9:$E$108,'EoM Sheet'!$B$9:$B$108,"*"&amp;D88)))))</f>
        <v/>
      </c>
      <c r="I88" s="28" t="str">
        <f aca="false">IF(AND(ISNUMBER(E88),ISNUMBER(H88)),H88-E88,"")</f>
        <v/>
      </c>
      <c r="J88" s="25"/>
    </row>
    <row r="89" customFormat="false" ht="19.5" hidden="false" customHeight="true" outlineLevel="0" collapsed="false">
      <c r="A89" s="15" t="str">
        <f aca="false">IF(B89="","",COUNTA($B$9:B89))</f>
        <v/>
      </c>
      <c r="B89" s="16"/>
      <c r="C89" s="17"/>
      <c r="D89" s="18"/>
      <c r="E89" s="19"/>
      <c r="F89" s="20" t="str">
        <f aca="true">IF(OR(B89="",E89=""),"",E89-TODAY())</f>
        <v/>
      </c>
      <c r="G89" s="21" t="str">
        <f aca="true">IF(B89="","",IF(E89="","Date TBC",IF(E89&lt;TODAY(),"Arrived",IF(E89-TODAY()&lt;=14,"Due ≤ 14 days",IF(E89-TODAY()&lt;=30,"Due ≤ 30 days","Upcoming")))))</f>
        <v/>
      </c>
      <c r="H89" s="22" t="str">
        <f aca="false">IF(OR(B89="",D89=""),"",IF(D89="New position","New position",IF(COUNTIF('EoM Sheet'!$B$9:$B$108,"*"&amp;D89)=0,"Not on EoM list",IF(_xlfn.MAXIFS('EoM Sheet'!$E$9:$E$108,'EoM Sheet'!$B$9:$B$108,"*"&amp;D89)=0,"Date TBC",_xlfn.MAXIFS('EoM Sheet'!$E$9:$E$108,'EoM Sheet'!$B$9:$B$108,"*"&amp;D89)))))</f>
        <v/>
      </c>
      <c r="I89" s="20" t="str">
        <f aca="false">IF(AND(ISNUMBER(E89),ISNUMBER(H89)),H89-E89,"")</f>
        <v/>
      </c>
      <c r="J89" s="17"/>
    </row>
    <row r="90" customFormat="false" ht="19.5" hidden="false" customHeight="true" outlineLevel="0" collapsed="false">
      <c r="A90" s="23" t="str">
        <f aca="false">IF(B90="","",COUNTA($B$9:B90))</f>
        <v/>
      </c>
      <c r="B90" s="24"/>
      <c r="C90" s="25"/>
      <c r="D90" s="26"/>
      <c r="E90" s="27"/>
      <c r="F90" s="28" t="str">
        <f aca="true">IF(OR(B90="",E90=""),"",E90-TODAY())</f>
        <v/>
      </c>
      <c r="G90" s="29" t="str">
        <f aca="true">IF(B90="","",IF(E90="","Date TBC",IF(E90&lt;TODAY(),"Arrived",IF(E90-TODAY()&lt;=14,"Due ≤ 14 days",IF(E90-TODAY()&lt;=30,"Due ≤ 30 days","Upcoming")))))</f>
        <v/>
      </c>
      <c r="H90" s="30" t="str">
        <f aca="false">IF(OR(B90="",D90=""),"",IF(D90="New position","New position",IF(COUNTIF('EoM Sheet'!$B$9:$B$108,"*"&amp;D90)=0,"Not on EoM list",IF(_xlfn.MAXIFS('EoM Sheet'!$E$9:$E$108,'EoM Sheet'!$B$9:$B$108,"*"&amp;D90)=0,"Date TBC",_xlfn.MAXIFS('EoM Sheet'!$E$9:$E$108,'EoM Sheet'!$B$9:$B$108,"*"&amp;D90)))))</f>
        <v/>
      </c>
      <c r="I90" s="28" t="str">
        <f aca="false">IF(AND(ISNUMBER(E90),ISNUMBER(H90)),H90-E90,"")</f>
        <v/>
      </c>
      <c r="J90" s="25"/>
    </row>
    <row r="91" customFormat="false" ht="19.5" hidden="false" customHeight="true" outlineLevel="0" collapsed="false">
      <c r="A91" s="15" t="str">
        <f aca="false">IF(B91="","",COUNTA($B$9:B91))</f>
        <v/>
      </c>
      <c r="B91" s="16"/>
      <c r="C91" s="17"/>
      <c r="D91" s="18"/>
      <c r="E91" s="19"/>
      <c r="F91" s="20" t="str">
        <f aca="true">IF(OR(B91="",E91=""),"",E91-TODAY())</f>
        <v/>
      </c>
      <c r="G91" s="21" t="str">
        <f aca="true">IF(B91="","",IF(E91="","Date TBC",IF(E91&lt;TODAY(),"Arrived",IF(E91-TODAY()&lt;=14,"Due ≤ 14 days",IF(E91-TODAY()&lt;=30,"Due ≤ 30 days","Upcoming")))))</f>
        <v/>
      </c>
      <c r="H91" s="22" t="str">
        <f aca="false">IF(OR(B91="",D91=""),"",IF(D91="New position","New position",IF(COUNTIF('EoM Sheet'!$B$9:$B$108,"*"&amp;D91)=0,"Not on EoM list",IF(_xlfn.MAXIFS('EoM Sheet'!$E$9:$E$108,'EoM Sheet'!$B$9:$B$108,"*"&amp;D91)=0,"Date TBC",_xlfn.MAXIFS('EoM Sheet'!$E$9:$E$108,'EoM Sheet'!$B$9:$B$108,"*"&amp;D91)))))</f>
        <v/>
      </c>
      <c r="I91" s="20" t="str">
        <f aca="false">IF(AND(ISNUMBER(E91),ISNUMBER(H91)),H91-E91,"")</f>
        <v/>
      </c>
      <c r="J91" s="17"/>
    </row>
    <row r="92" customFormat="false" ht="19.5" hidden="false" customHeight="true" outlineLevel="0" collapsed="false">
      <c r="A92" s="23" t="str">
        <f aca="false">IF(B92="","",COUNTA($B$9:B92))</f>
        <v/>
      </c>
      <c r="B92" s="24"/>
      <c r="C92" s="25"/>
      <c r="D92" s="26"/>
      <c r="E92" s="27"/>
      <c r="F92" s="28" t="str">
        <f aca="true">IF(OR(B92="",E92=""),"",E92-TODAY())</f>
        <v/>
      </c>
      <c r="G92" s="29" t="str">
        <f aca="true">IF(B92="","",IF(E92="","Date TBC",IF(E92&lt;TODAY(),"Arrived",IF(E92-TODAY()&lt;=14,"Due ≤ 14 days",IF(E92-TODAY()&lt;=30,"Due ≤ 30 days","Upcoming")))))</f>
        <v/>
      </c>
      <c r="H92" s="30" t="str">
        <f aca="false">IF(OR(B92="",D92=""),"",IF(D92="New position","New position",IF(COUNTIF('EoM Sheet'!$B$9:$B$108,"*"&amp;D92)=0,"Not on EoM list",IF(_xlfn.MAXIFS('EoM Sheet'!$E$9:$E$108,'EoM Sheet'!$B$9:$B$108,"*"&amp;D92)=0,"Date TBC",_xlfn.MAXIFS('EoM Sheet'!$E$9:$E$108,'EoM Sheet'!$B$9:$B$108,"*"&amp;D92)))))</f>
        <v/>
      </c>
      <c r="I92" s="28" t="str">
        <f aca="false">IF(AND(ISNUMBER(E92),ISNUMBER(H92)),H92-E92,"")</f>
        <v/>
      </c>
      <c r="J92" s="25"/>
    </row>
    <row r="93" customFormat="false" ht="19.5" hidden="false" customHeight="true" outlineLevel="0" collapsed="false">
      <c r="A93" s="15" t="str">
        <f aca="false">IF(B93="","",COUNTA($B$9:B93))</f>
        <v/>
      </c>
      <c r="B93" s="16"/>
      <c r="C93" s="17"/>
      <c r="D93" s="18"/>
      <c r="E93" s="19"/>
      <c r="F93" s="20" t="str">
        <f aca="true">IF(OR(B93="",E93=""),"",E93-TODAY())</f>
        <v/>
      </c>
      <c r="G93" s="21" t="str">
        <f aca="true">IF(B93="","",IF(E93="","Date TBC",IF(E93&lt;TODAY(),"Arrived",IF(E93-TODAY()&lt;=14,"Due ≤ 14 days",IF(E93-TODAY()&lt;=30,"Due ≤ 30 days","Upcoming")))))</f>
        <v/>
      </c>
      <c r="H93" s="22" t="str">
        <f aca="false">IF(OR(B93="",D93=""),"",IF(D93="New position","New position",IF(COUNTIF('EoM Sheet'!$B$9:$B$108,"*"&amp;D93)=0,"Not on EoM list",IF(_xlfn.MAXIFS('EoM Sheet'!$E$9:$E$108,'EoM Sheet'!$B$9:$B$108,"*"&amp;D93)=0,"Date TBC",_xlfn.MAXIFS('EoM Sheet'!$E$9:$E$108,'EoM Sheet'!$B$9:$B$108,"*"&amp;D93)))))</f>
        <v/>
      </c>
      <c r="I93" s="20" t="str">
        <f aca="false">IF(AND(ISNUMBER(E93),ISNUMBER(H93)),H93-E93,"")</f>
        <v/>
      </c>
      <c r="J93" s="17"/>
    </row>
    <row r="94" customFormat="false" ht="19.5" hidden="false" customHeight="true" outlineLevel="0" collapsed="false">
      <c r="A94" s="23" t="str">
        <f aca="false">IF(B94="","",COUNTA($B$9:B94))</f>
        <v/>
      </c>
      <c r="B94" s="24"/>
      <c r="C94" s="25"/>
      <c r="D94" s="26"/>
      <c r="E94" s="27"/>
      <c r="F94" s="28" t="str">
        <f aca="true">IF(OR(B94="",E94=""),"",E94-TODAY())</f>
        <v/>
      </c>
      <c r="G94" s="29" t="str">
        <f aca="true">IF(B94="","",IF(E94="","Date TBC",IF(E94&lt;TODAY(),"Arrived",IF(E94-TODAY()&lt;=14,"Due ≤ 14 days",IF(E94-TODAY()&lt;=30,"Due ≤ 30 days","Upcoming")))))</f>
        <v/>
      </c>
      <c r="H94" s="30" t="str">
        <f aca="false">IF(OR(B94="",D94=""),"",IF(D94="New position","New position",IF(COUNTIF('EoM Sheet'!$B$9:$B$108,"*"&amp;D94)=0,"Not on EoM list",IF(_xlfn.MAXIFS('EoM Sheet'!$E$9:$E$108,'EoM Sheet'!$B$9:$B$108,"*"&amp;D94)=0,"Date TBC",_xlfn.MAXIFS('EoM Sheet'!$E$9:$E$108,'EoM Sheet'!$B$9:$B$108,"*"&amp;D94)))))</f>
        <v/>
      </c>
      <c r="I94" s="28" t="str">
        <f aca="false">IF(AND(ISNUMBER(E94),ISNUMBER(H94)),H94-E94,"")</f>
        <v/>
      </c>
      <c r="J94" s="25"/>
    </row>
    <row r="95" customFormat="false" ht="19.5" hidden="false" customHeight="true" outlineLevel="0" collapsed="false">
      <c r="A95" s="15" t="str">
        <f aca="false">IF(B95="","",COUNTA($B$9:B95))</f>
        <v/>
      </c>
      <c r="B95" s="16"/>
      <c r="C95" s="17"/>
      <c r="D95" s="18"/>
      <c r="E95" s="19"/>
      <c r="F95" s="20" t="str">
        <f aca="true">IF(OR(B95="",E95=""),"",E95-TODAY())</f>
        <v/>
      </c>
      <c r="G95" s="21" t="str">
        <f aca="true">IF(B95="","",IF(E95="","Date TBC",IF(E95&lt;TODAY(),"Arrived",IF(E95-TODAY()&lt;=14,"Due ≤ 14 days",IF(E95-TODAY()&lt;=30,"Due ≤ 30 days","Upcoming")))))</f>
        <v/>
      </c>
      <c r="H95" s="22" t="str">
        <f aca="false">IF(OR(B95="",D95=""),"",IF(D95="New position","New position",IF(COUNTIF('EoM Sheet'!$B$9:$B$108,"*"&amp;D95)=0,"Not on EoM list",IF(_xlfn.MAXIFS('EoM Sheet'!$E$9:$E$108,'EoM Sheet'!$B$9:$B$108,"*"&amp;D95)=0,"Date TBC",_xlfn.MAXIFS('EoM Sheet'!$E$9:$E$108,'EoM Sheet'!$B$9:$B$108,"*"&amp;D95)))))</f>
        <v/>
      </c>
      <c r="I95" s="20" t="str">
        <f aca="false">IF(AND(ISNUMBER(E95),ISNUMBER(H95)),H95-E95,"")</f>
        <v/>
      </c>
      <c r="J95" s="17"/>
    </row>
    <row r="96" customFormat="false" ht="19.5" hidden="false" customHeight="true" outlineLevel="0" collapsed="false">
      <c r="A96" s="23" t="str">
        <f aca="false">IF(B96="","",COUNTA($B$9:B96))</f>
        <v/>
      </c>
      <c r="B96" s="24"/>
      <c r="C96" s="25"/>
      <c r="D96" s="26"/>
      <c r="E96" s="27"/>
      <c r="F96" s="28" t="str">
        <f aca="true">IF(OR(B96="",E96=""),"",E96-TODAY())</f>
        <v/>
      </c>
      <c r="G96" s="29" t="str">
        <f aca="true">IF(B96="","",IF(E96="","Date TBC",IF(E96&lt;TODAY(),"Arrived",IF(E96-TODAY()&lt;=14,"Due ≤ 14 days",IF(E96-TODAY()&lt;=30,"Due ≤ 30 days","Upcoming")))))</f>
        <v/>
      </c>
      <c r="H96" s="30" t="str">
        <f aca="false">IF(OR(B96="",D96=""),"",IF(D96="New position","New position",IF(COUNTIF('EoM Sheet'!$B$9:$B$108,"*"&amp;D96)=0,"Not on EoM list",IF(_xlfn.MAXIFS('EoM Sheet'!$E$9:$E$108,'EoM Sheet'!$B$9:$B$108,"*"&amp;D96)=0,"Date TBC",_xlfn.MAXIFS('EoM Sheet'!$E$9:$E$108,'EoM Sheet'!$B$9:$B$108,"*"&amp;D96)))))</f>
        <v/>
      </c>
      <c r="I96" s="28" t="str">
        <f aca="false">IF(AND(ISNUMBER(E96),ISNUMBER(H96)),H96-E96,"")</f>
        <v/>
      </c>
      <c r="J96" s="25"/>
    </row>
    <row r="97" customFormat="false" ht="19.5" hidden="false" customHeight="true" outlineLevel="0" collapsed="false">
      <c r="A97" s="15" t="str">
        <f aca="false">IF(B97="","",COUNTA($B$9:B97))</f>
        <v/>
      </c>
      <c r="B97" s="16"/>
      <c r="C97" s="17"/>
      <c r="D97" s="18"/>
      <c r="E97" s="19"/>
      <c r="F97" s="20" t="str">
        <f aca="true">IF(OR(B97="",E97=""),"",E97-TODAY())</f>
        <v/>
      </c>
      <c r="G97" s="21" t="str">
        <f aca="true">IF(B97="","",IF(E97="","Date TBC",IF(E97&lt;TODAY(),"Arrived",IF(E97-TODAY()&lt;=14,"Due ≤ 14 days",IF(E97-TODAY()&lt;=30,"Due ≤ 30 days","Upcoming")))))</f>
        <v/>
      </c>
      <c r="H97" s="22" t="str">
        <f aca="false">IF(OR(B97="",D97=""),"",IF(D97="New position","New position",IF(COUNTIF('EoM Sheet'!$B$9:$B$108,"*"&amp;D97)=0,"Not on EoM list",IF(_xlfn.MAXIFS('EoM Sheet'!$E$9:$E$108,'EoM Sheet'!$B$9:$B$108,"*"&amp;D97)=0,"Date TBC",_xlfn.MAXIFS('EoM Sheet'!$E$9:$E$108,'EoM Sheet'!$B$9:$B$108,"*"&amp;D97)))))</f>
        <v/>
      </c>
      <c r="I97" s="20" t="str">
        <f aca="false">IF(AND(ISNUMBER(E97),ISNUMBER(H97)),H97-E97,"")</f>
        <v/>
      </c>
      <c r="J97" s="17"/>
    </row>
    <row r="98" customFormat="false" ht="19.5" hidden="false" customHeight="true" outlineLevel="0" collapsed="false">
      <c r="A98" s="23" t="str">
        <f aca="false">IF(B98="","",COUNTA($B$9:B98))</f>
        <v/>
      </c>
      <c r="B98" s="24"/>
      <c r="C98" s="25"/>
      <c r="D98" s="26"/>
      <c r="E98" s="27"/>
      <c r="F98" s="28" t="str">
        <f aca="true">IF(OR(B98="",E98=""),"",E98-TODAY())</f>
        <v/>
      </c>
      <c r="G98" s="29" t="str">
        <f aca="true">IF(B98="","",IF(E98="","Date TBC",IF(E98&lt;TODAY(),"Arrived",IF(E98-TODAY()&lt;=14,"Due ≤ 14 days",IF(E98-TODAY()&lt;=30,"Due ≤ 30 days","Upcoming")))))</f>
        <v/>
      </c>
      <c r="H98" s="30" t="str">
        <f aca="false">IF(OR(B98="",D98=""),"",IF(D98="New position","New position",IF(COUNTIF('EoM Sheet'!$B$9:$B$108,"*"&amp;D98)=0,"Not on EoM list",IF(_xlfn.MAXIFS('EoM Sheet'!$E$9:$E$108,'EoM Sheet'!$B$9:$B$108,"*"&amp;D98)=0,"Date TBC",_xlfn.MAXIFS('EoM Sheet'!$E$9:$E$108,'EoM Sheet'!$B$9:$B$108,"*"&amp;D98)))))</f>
        <v/>
      </c>
      <c r="I98" s="28" t="str">
        <f aca="false">IF(AND(ISNUMBER(E98),ISNUMBER(H98)),H98-E98,"")</f>
        <v/>
      </c>
      <c r="J98" s="25"/>
    </row>
    <row r="99" customFormat="false" ht="19.5" hidden="false" customHeight="true" outlineLevel="0" collapsed="false">
      <c r="A99" s="15" t="str">
        <f aca="false">IF(B99="","",COUNTA($B$9:B99))</f>
        <v/>
      </c>
      <c r="B99" s="16"/>
      <c r="C99" s="17"/>
      <c r="D99" s="18"/>
      <c r="E99" s="19"/>
      <c r="F99" s="20" t="str">
        <f aca="true">IF(OR(B99="",E99=""),"",E99-TODAY())</f>
        <v/>
      </c>
      <c r="G99" s="21" t="str">
        <f aca="true">IF(B99="","",IF(E99="","Date TBC",IF(E99&lt;TODAY(),"Arrived",IF(E99-TODAY()&lt;=14,"Due ≤ 14 days",IF(E99-TODAY()&lt;=30,"Due ≤ 30 days","Upcoming")))))</f>
        <v/>
      </c>
      <c r="H99" s="22" t="str">
        <f aca="false">IF(OR(B99="",D99=""),"",IF(D99="New position","New position",IF(COUNTIF('EoM Sheet'!$B$9:$B$108,"*"&amp;D99)=0,"Not on EoM list",IF(_xlfn.MAXIFS('EoM Sheet'!$E$9:$E$108,'EoM Sheet'!$B$9:$B$108,"*"&amp;D99)=0,"Date TBC",_xlfn.MAXIFS('EoM Sheet'!$E$9:$E$108,'EoM Sheet'!$B$9:$B$108,"*"&amp;D99)))))</f>
        <v/>
      </c>
      <c r="I99" s="20" t="str">
        <f aca="false">IF(AND(ISNUMBER(E99),ISNUMBER(H99)),H99-E99,"")</f>
        <v/>
      </c>
      <c r="J99" s="17"/>
    </row>
    <row r="100" customFormat="false" ht="19.5" hidden="false" customHeight="true" outlineLevel="0" collapsed="false">
      <c r="A100" s="23" t="str">
        <f aca="false">IF(B100="","",COUNTA($B$9:B100))</f>
        <v/>
      </c>
      <c r="B100" s="24"/>
      <c r="C100" s="25"/>
      <c r="D100" s="26"/>
      <c r="E100" s="27"/>
      <c r="F100" s="28" t="str">
        <f aca="true">IF(OR(B100="",E100=""),"",E100-TODAY())</f>
        <v/>
      </c>
      <c r="G100" s="29" t="str">
        <f aca="true">IF(B100="","",IF(E100="","Date TBC",IF(E100&lt;TODAY(),"Arrived",IF(E100-TODAY()&lt;=14,"Due ≤ 14 days",IF(E100-TODAY()&lt;=30,"Due ≤ 30 days","Upcoming")))))</f>
        <v/>
      </c>
      <c r="H100" s="30" t="str">
        <f aca="false">IF(OR(B100="",D100=""),"",IF(D100="New position","New position",IF(COUNTIF('EoM Sheet'!$B$9:$B$108,"*"&amp;D100)=0,"Not on EoM list",IF(_xlfn.MAXIFS('EoM Sheet'!$E$9:$E$108,'EoM Sheet'!$B$9:$B$108,"*"&amp;D100)=0,"Date TBC",_xlfn.MAXIFS('EoM Sheet'!$E$9:$E$108,'EoM Sheet'!$B$9:$B$108,"*"&amp;D100)))))</f>
        <v/>
      </c>
      <c r="I100" s="28" t="str">
        <f aca="false">IF(AND(ISNUMBER(E100),ISNUMBER(H100)),H100-E100,"")</f>
        <v/>
      </c>
      <c r="J100" s="25"/>
    </row>
    <row r="101" customFormat="false" ht="19.5" hidden="false" customHeight="true" outlineLevel="0" collapsed="false">
      <c r="A101" s="15" t="str">
        <f aca="false">IF(B101="","",COUNTA($B$9:B101))</f>
        <v/>
      </c>
      <c r="B101" s="16"/>
      <c r="C101" s="17"/>
      <c r="D101" s="18"/>
      <c r="E101" s="19"/>
      <c r="F101" s="20" t="str">
        <f aca="true">IF(OR(B101="",E101=""),"",E101-TODAY())</f>
        <v/>
      </c>
      <c r="G101" s="21" t="str">
        <f aca="true">IF(B101="","",IF(E101="","Date TBC",IF(E101&lt;TODAY(),"Arrived",IF(E101-TODAY()&lt;=14,"Due ≤ 14 days",IF(E101-TODAY()&lt;=30,"Due ≤ 30 days","Upcoming")))))</f>
        <v/>
      </c>
      <c r="H101" s="22" t="str">
        <f aca="false">IF(OR(B101="",D101=""),"",IF(D101="New position","New position",IF(COUNTIF('EoM Sheet'!$B$9:$B$108,"*"&amp;D101)=0,"Not on EoM list",IF(_xlfn.MAXIFS('EoM Sheet'!$E$9:$E$108,'EoM Sheet'!$B$9:$B$108,"*"&amp;D101)=0,"Date TBC",_xlfn.MAXIFS('EoM Sheet'!$E$9:$E$108,'EoM Sheet'!$B$9:$B$108,"*"&amp;D101)))))</f>
        <v/>
      </c>
      <c r="I101" s="20" t="str">
        <f aca="false">IF(AND(ISNUMBER(E101),ISNUMBER(H101)),H101-E101,"")</f>
        <v/>
      </c>
      <c r="J101" s="17"/>
    </row>
    <row r="102" customFormat="false" ht="19.5" hidden="false" customHeight="true" outlineLevel="0" collapsed="false">
      <c r="A102" s="23" t="str">
        <f aca="false">IF(B102="","",COUNTA($B$9:B102))</f>
        <v/>
      </c>
      <c r="B102" s="24"/>
      <c r="C102" s="25"/>
      <c r="D102" s="26"/>
      <c r="E102" s="27"/>
      <c r="F102" s="28" t="str">
        <f aca="true">IF(OR(B102="",E102=""),"",E102-TODAY())</f>
        <v/>
      </c>
      <c r="G102" s="29" t="str">
        <f aca="true">IF(B102="","",IF(E102="","Date TBC",IF(E102&lt;TODAY(),"Arrived",IF(E102-TODAY()&lt;=14,"Due ≤ 14 days",IF(E102-TODAY()&lt;=30,"Due ≤ 30 days","Upcoming")))))</f>
        <v/>
      </c>
      <c r="H102" s="30" t="str">
        <f aca="false">IF(OR(B102="",D102=""),"",IF(D102="New position","New position",IF(COUNTIF('EoM Sheet'!$B$9:$B$108,"*"&amp;D102)=0,"Not on EoM list",IF(_xlfn.MAXIFS('EoM Sheet'!$E$9:$E$108,'EoM Sheet'!$B$9:$B$108,"*"&amp;D102)=0,"Date TBC",_xlfn.MAXIFS('EoM Sheet'!$E$9:$E$108,'EoM Sheet'!$B$9:$B$108,"*"&amp;D102)))))</f>
        <v/>
      </c>
      <c r="I102" s="28" t="str">
        <f aca="false">IF(AND(ISNUMBER(E102),ISNUMBER(H102)),H102-E102,"")</f>
        <v/>
      </c>
      <c r="J102" s="25"/>
    </row>
    <row r="103" customFormat="false" ht="19.5" hidden="false" customHeight="true" outlineLevel="0" collapsed="false">
      <c r="A103" s="15" t="str">
        <f aca="false">IF(B103="","",COUNTA($B$9:B103))</f>
        <v/>
      </c>
      <c r="B103" s="16"/>
      <c r="C103" s="17"/>
      <c r="D103" s="18"/>
      <c r="E103" s="19"/>
      <c r="F103" s="20" t="str">
        <f aca="true">IF(OR(B103="",E103=""),"",E103-TODAY())</f>
        <v/>
      </c>
      <c r="G103" s="21" t="str">
        <f aca="true">IF(B103="","",IF(E103="","Date TBC",IF(E103&lt;TODAY(),"Arrived",IF(E103-TODAY()&lt;=14,"Due ≤ 14 days",IF(E103-TODAY()&lt;=30,"Due ≤ 30 days","Upcoming")))))</f>
        <v/>
      </c>
      <c r="H103" s="22" t="str">
        <f aca="false">IF(OR(B103="",D103=""),"",IF(D103="New position","New position",IF(COUNTIF('EoM Sheet'!$B$9:$B$108,"*"&amp;D103)=0,"Not on EoM list",IF(_xlfn.MAXIFS('EoM Sheet'!$E$9:$E$108,'EoM Sheet'!$B$9:$B$108,"*"&amp;D103)=0,"Date TBC",_xlfn.MAXIFS('EoM Sheet'!$E$9:$E$108,'EoM Sheet'!$B$9:$B$108,"*"&amp;D103)))))</f>
        <v/>
      </c>
      <c r="I103" s="20" t="str">
        <f aca="false">IF(AND(ISNUMBER(E103),ISNUMBER(H103)),H103-E103,"")</f>
        <v/>
      </c>
      <c r="J103" s="17"/>
    </row>
    <row r="104" customFormat="false" ht="19.5" hidden="false" customHeight="true" outlineLevel="0" collapsed="false">
      <c r="A104" s="23" t="str">
        <f aca="false">IF(B104="","",COUNTA($B$9:B104))</f>
        <v/>
      </c>
      <c r="B104" s="24"/>
      <c r="C104" s="25"/>
      <c r="D104" s="26"/>
      <c r="E104" s="27"/>
      <c r="F104" s="28" t="str">
        <f aca="true">IF(OR(B104="",E104=""),"",E104-TODAY())</f>
        <v/>
      </c>
      <c r="G104" s="29" t="str">
        <f aca="true">IF(B104="","",IF(E104="","Date TBC",IF(E104&lt;TODAY(),"Arrived",IF(E104-TODAY()&lt;=14,"Due ≤ 14 days",IF(E104-TODAY()&lt;=30,"Due ≤ 30 days","Upcoming")))))</f>
        <v/>
      </c>
      <c r="H104" s="30" t="str">
        <f aca="false">IF(OR(B104="",D104=""),"",IF(D104="New position","New position",IF(COUNTIF('EoM Sheet'!$B$9:$B$108,"*"&amp;D104)=0,"Not on EoM list",IF(_xlfn.MAXIFS('EoM Sheet'!$E$9:$E$108,'EoM Sheet'!$B$9:$B$108,"*"&amp;D104)=0,"Date TBC",_xlfn.MAXIFS('EoM Sheet'!$E$9:$E$108,'EoM Sheet'!$B$9:$B$108,"*"&amp;D104)))))</f>
        <v/>
      </c>
      <c r="I104" s="28" t="str">
        <f aca="false">IF(AND(ISNUMBER(E104),ISNUMBER(H104)),H104-E104,"")</f>
        <v/>
      </c>
      <c r="J104" s="25"/>
    </row>
    <row r="105" customFormat="false" ht="19.5" hidden="false" customHeight="true" outlineLevel="0" collapsed="false">
      <c r="A105" s="15" t="str">
        <f aca="false">IF(B105="","",COUNTA($B$9:B105))</f>
        <v/>
      </c>
      <c r="B105" s="16"/>
      <c r="C105" s="17"/>
      <c r="D105" s="18"/>
      <c r="E105" s="19"/>
      <c r="F105" s="20" t="str">
        <f aca="true">IF(OR(B105="",E105=""),"",E105-TODAY())</f>
        <v/>
      </c>
      <c r="G105" s="21" t="str">
        <f aca="true">IF(B105="","",IF(E105="","Date TBC",IF(E105&lt;TODAY(),"Arrived",IF(E105-TODAY()&lt;=14,"Due ≤ 14 days",IF(E105-TODAY()&lt;=30,"Due ≤ 30 days","Upcoming")))))</f>
        <v/>
      </c>
      <c r="H105" s="22" t="str">
        <f aca="false">IF(OR(B105="",D105=""),"",IF(D105="New position","New position",IF(COUNTIF('EoM Sheet'!$B$9:$B$108,"*"&amp;D105)=0,"Not on EoM list",IF(_xlfn.MAXIFS('EoM Sheet'!$E$9:$E$108,'EoM Sheet'!$B$9:$B$108,"*"&amp;D105)=0,"Date TBC",_xlfn.MAXIFS('EoM Sheet'!$E$9:$E$108,'EoM Sheet'!$B$9:$B$108,"*"&amp;D105)))))</f>
        <v/>
      </c>
      <c r="I105" s="20" t="str">
        <f aca="false">IF(AND(ISNUMBER(E105),ISNUMBER(H105)),H105-E105,"")</f>
        <v/>
      </c>
      <c r="J105" s="17"/>
    </row>
    <row r="106" customFormat="false" ht="19.5" hidden="false" customHeight="true" outlineLevel="0" collapsed="false">
      <c r="A106" s="23" t="str">
        <f aca="false">IF(B106="","",COUNTA($B$9:B106))</f>
        <v/>
      </c>
      <c r="B106" s="24"/>
      <c r="C106" s="25"/>
      <c r="D106" s="26"/>
      <c r="E106" s="27"/>
      <c r="F106" s="28" t="str">
        <f aca="true">IF(OR(B106="",E106=""),"",E106-TODAY())</f>
        <v/>
      </c>
      <c r="G106" s="29" t="str">
        <f aca="true">IF(B106="","",IF(E106="","Date TBC",IF(E106&lt;TODAY(),"Arrived",IF(E106-TODAY()&lt;=14,"Due ≤ 14 days",IF(E106-TODAY()&lt;=30,"Due ≤ 30 days","Upcoming")))))</f>
        <v/>
      </c>
      <c r="H106" s="30" t="str">
        <f aca="false">IF(OR(B106="",D106=""),"",IF(D106="New position","New position",IF(COUNTIF('EoM Sheet'!$B$9:$B$108,"*"&amp;D106)=0,"Not on EoM list",IF(_xlfn.MAXIFS('EoM Sheet'!$E$9:$E$108,'EoM Sheet'!$B$9:$B$108,"*"&amp;D106)=0,"Date TBC",_xlfn.MAXIFS('EoM Sheet'!$E$9:$E$108,'EoM Sheet'!$B$9:$B$108,"*"&amp;D106)))))</f>
        <v/>
      </c>
      <c r="I106" s="28" t="str">
        <f aca="false">IF(AND(ISNUMBER(E106),ISNUMBER(H106)),H106-E106,"")</f>
        <v/>
      </c>
      <c r="J106" s="25"/>
    </row>
    <row r="107" customFormat="false" ht="19.5" hidden="false" customHeight="true" outlineLevel="0" collapsed="false">
      <c r="A107" s="15" t="str">
        <f aca="false">IF(B107="","",COUNTA($B$9:B107))</f>
        <v/>
      </c>
      <c r="B107" s="16"/>
      <c r="C107" s="17"/>
      <c r="D107" s="18"/>
      <c r="E107" s="19"/>
      <c r="F107" s="20" t="str">
        <f aca="true">IF(OR(B107="",E107=""),"",E107-TODAY())</f>
        <v/>
      </c>
      <c r="G107" s="21" t="str">
        <f aca="true">IF(B107="","",IF(E107="","Date TBC",IF(E107&lt;TODAY(),"Arrived",IF(E107-TODAY()&lt;=14,"Due ≤ 14 days",IF(E107-TODAY()&lt;=30,"Due ≤ 30 days","Upcoming")))))</f>
        <v/>
      </c>
      <c r="H107" s="22" t="str">
        <f aca="false">IF(OR(B107="",D107=""),"",IF(D107="New position","New position",IF(COUNTIF('EoM Sheet'!$B$9:$B$108,"*"&amp;D107)=0,"Not on EoM list",IF(_xlfn.MAXIFS('EoM Sheet'!$E$9:$E$108,'EoM Sheet'!$B$9:$B$108,"*"&amp;D107)=0,"Date TBC",_xlfn.MAXIFS('EoM Sheet'!$E$9:$E$108,'EoM Sheet'!$B$9:$B$108,"*"&amp;D107)))))</f>
        <v/>
      </c>
      <c r="I107" s="20" t="str">
        <f aca="false">IF(AND(ISNUMBER(E107),ISNUMBER(H107)),H107-E107,"")</f>
        <v/>
      </c>
      <c r="J107" s="17"/>
    </row>
    <row r="108" customFormat="false" ht="19.5" hidden="false" customHeight="true" outlineLevel="0" collapsed="false">
      <c r="A108" s="23" t="str">
        <f aca="false">IF(B108="","",COUNTA($B$9:B108))</f>
        <v/>
      </c>
      <c r="B108" s="24"/>
      <c r="C108" s="25"/>
      <c r="D108" s="26"/>
      <c r="E108" s="27"/>
      <c r="F108" s="28" t="str">
        <f aca="true">IF(OR(B108="",E108=""),"",E108-TODAY())</f>
        <v/>
      </c>
      <c r="G108" s="29" t="str">
        <f aca="true">IF(B108="","",IF(E108="","Date TBC",IF(E108&lt;TODAY(),"Arrived",IF(E108-TODAY()&lt;=14,"Due ≤ 14 days",IF(E108-TODAY()&lt;=30,"Due ≤ 30 days","Upcoming")))))</f>
        <v/>
      </c>
      <c r="H108" s="30" t="str">
        <f aca="false">IF(OR(B108="",D108=""),"",IF(D108="New position","New position",IF(COUNTIF('EoM Sheet'!$B$9:$B$108,"*"&amp;D108)=0,"Not on EoM list",IF(_xlfn.MAXIFS('EoM Sheet'!$E$9:$E$108,'EoM Sheet'!$B$9:$B$108,"*"&amp;D108)=0,"Date TBC",_xlfn.MAXIFS('EoM Sheet'!$E$9:$E$108,'EoM Sheet'!$B$9:$B$108,"*"&amp;D108)))))</f>
        <v/>
      </c>
      <c r="I108" s="28" t="str">
        <f aca="false">IF(AND(ISNUMBER(E108),ISNUMBER(H108)),H108-E108,"")</f>
        <v/>
      </c>
      <c r="J108" s="25"/>
    </row>
    <row r="110" customFormat="false" ht="15" hidden="false" customHeight="false" outlineLevel="0" collapsed="false">
      <c r="B110" s="31" t="s">
        <v>82</v>
      </c>
    </row>
    <row r="111" customFormat="false" ht="15" hidden="false" customHeight="false" outlineLevel="0" collapsed="false">
      <c r="B111" s="32" t="s">
        <v>83</v>
      </c>
      <c r="C111" s="33" t="s">
        <v>84</v>
      </c>
    </row>
    <row r="112" customFormat="false" ht="15" hidden="false" customHeight="false" outlineLevel="0" collapsed="false">
      <c r="B112" s="34" t="s">
        <v>85</v>
      </c>
      <c r="C112" s="33" t="s">
        <v>86</v>
      </c>
    </row>
    <row r="113" customFormat="false" ht="15" hidden="false" customHeight="false" outlineLevel="0" collapsed="false">
      <c r="B113" s="35" t="s">
        <v>87</v>
      </c>
      <c r="C113" s="33" t="s">
        <v>88</v>
      </c>
    </row>
    <row r="114" customFormat="false" ht="15" hidden="false" customHeight="false" outlineLevel="0" collapsed="false">
      <c r="B114" s="36" t="s">
        <v>89</v>
      </c>
      <c r="C114" s="33" t="s">
        <v>90</v>
      </c>
    </row>
    <row r="115" customFormat="false" ht="15" hidden="false" customHeight="false" outlineLevel="0" collapsed="false">
      <c r="B115" s="37" t="s">
        <v>91</v>
      </c>
      <c r="C115" s="33" t="s">
        <v>92</v>
      </c>
    </row>
    <row r="117" customFormat="false" ht="15" hidden="false" customHeight="false" outlineLevel="0" collapsed="false">
      <c r="B117" s="38" t="s">
        <v>93</v>
      </c>
    </row>
  </sheetData>
  <autoFilter ref="A8:J108"/>
  <mergeCells count="11">
    <mergeCell ref="A1:J1"/>
    <mergeCell ref="A2:J2"/>
    <mergeCell ref="A4:B4"/>
    <mergeCell ref="E4:F4"/>
    <mergeCell ref="H4:J4"/>
    <mergeCell ref="A5:B6"/>
    <mergeCell ref="C5:C6"/>
    <mergeCell ref="D5:D6"/>
    <mergeCell ref="E5:F6"/>
    <mergeCell ref="G5:G6"/>
    <mergeCell ref="H5:J6"/>
  </mergeCells>
  <conditionalFormatting sqref="G9:G108">
    <cfRule type="expression" priority="2" aboveAverage="0" equalAverage="0" bottom="0" percent="0" rank="0" text="" dxfId="15">
      <formula>$G9="Due ≤ 14 days"</formula>
    </cfRule>
    <cfRule type="expression" priority="3" aboveAverage="0" equalAverage="0" bottom="0" percent="0" rank="0" text="" dxfId="16">
      <formula>$G9="Due ≤ 30 days"</formula>
    </cfRule>
    <cfRule type="expression" priority="4" aboveAverage="0" equalAverage="0" bottom="0" percent="0" rank="0" text="" dxfId="17">
      <formula>$G9="Upcoming"</formula>
    </cfRule>
    <cfRule type="expression" priority="5" aboveAverage="0" equalAverage="0" bottom="0" percent="0" rank="0" text="" dxfId="18">
      <formula>$G9="Date TBC"</formula>
    </cfRule>
    <cfRule type="expression" priority="6" aboveAverage="0" equalAverage="0" bottom="0" percent="0" rank="0" text="" dxfId="19">
      <formula>$G9="Arrived"</formula>
    </cfRule>
  </conditionalFormatting>
  <conditionalFormatting sqref="A9:F108">
    <cfRule type="expression" priority="7" aboveAverage="0" equalAverage="0" bottom="0" percent="0" rank="0" text="" dxfId="20">
      <formula>$G9="Due ≤ 14 days"</formula>
    </cfRule>
  </conditionalFormatting>
  <conditionalFormatting sqref="B9:D108">
    <cfRule type="expression" priority="8" aboveAverage="0" equalAverage="0" bottom="0" percent="0" rank="0" text="" dxfId="21">
      <formula>$G9="Arrived"</formula>
    </cfRule>
  </conditionalFormatting>
  <conditionalFormatting sqref="I9:I108">
    <cfRule type="expression" priority="9" aboveAverage="0" equalAverage="0" bottom="0" percent="0" rank="0" text="" dxfId="15">
      <formula>AND(ISNUMBER(I9),I9&lt;0)</formula>
    </cfRule>
    <cfRule type="expression" priority="10" aboveAverage="0" equalAverage="0" bottom="0" percent="0" rank="0" text="" dxfId="22">
      <formula>AND(ISNUMBER(I9),I9&gt;=0)</formula>
    </cfRule>
  </conditionalFormatting>
  <conditionalFormatting sqref="H9:H108">
    <cfRule type="expression" priority="11" aboveAverage="0" equalAverage="0" bottom="0" percent="0" rank="0" text="" dxfId="23">
      <formula>ISTEXT(H9)</formula>
    </cfRule>
  </conditionalFormatting>
  <conditionalFormatting sqref="B9:B108">
    <cfRule type="expression" priority="12" aboveAverage="0" equalAverage="0" bottom="0" percent="0" rank="0" text="" dxfId="16">
      <formula>AND(B9&lt;&gt;"",COUNTIF($B$9:$B$108,B9)&gt;1)</formula>
    </cfRule>
  </conditionalFormatting>
  <dataValidations count="1">
    <dataValidation allowBlank="true" error="Please enter a real date, e.g. 15/12/2026." errorStyle="stop" errorTitle="Invalid date" operator="between" prompt="Enter the date (dd/mm/yyyy). Leave blank if TBC." promptTitle="Date" showDropDown="false" showErrorMessage="true" showInputMessage="true" sqref="E9:E108" type="date">
      <formula1>DATE(2020,1,1)</formula1>
      <formula2>DATE(2035,12,31)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0033"/>
    <pageSetUpPr fitToPage="true"/>
  </sheetPr>
  <dimension ref="A1:J1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7.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4" t="s">
        <v>95</v>
      </c>
      <c r="D4" s="5" t="s">
        <v>4</v>
      </c>
      <c r="E4" s="6" t="s">
        <v>5</v>
      </c>
      <c r="F4" s="6"/>
      <c r="G4" s="7" t="s">
        <v>6</v>
      </c>
      <c r="H4" s="3" t="s">
        <v>96</v>
      </c>
      <c r="I4" s="3"/>
      <c r="J4" s="3"/>
    </row>
    <row r="5" customFormat="false" ht="18" hidden="false" customHeight="true" outlineLevel="0" collapsed="false">
      <c r="A5" s="8" t="n">
        <f aca="false">COUNTA($B$9:$B$108)</f>
        <v>23</v>
      </c>
      <c r="B5" s="8"/>
      <c r="C5" s="9" t="n">
        <f aca="false">COUNTIF($G$9:$G$108,"Departed")</f>
        <v>10</v>
      </c>
      <c r="D5" s="10" t="n">
        <f aca="false">COUNTIF($G$9:$G$108,"Due ≤ 14 days")</f>
        <v>1</v>
      </c>
      <c r="E5" s="11" t="n">
        <f aca="false">COUNTIF($G$9:$G$108,"Due ≤ 30 days")</f>
        <v>0</v>
      </c>
      <c r="F5" s="11"/>
      <c r="G5" s="12" t="str">
        <f aca="false">COUNTIF($G$9:$G$108,"Upcoming")&amp;" / "&amp;COUNTIF($G$9:$G$108,"Date TBC")</f>
        <v>4 / 8</v>
      </c>
      <c r="H5" s="13" t="str">
        <f aca="true">IF(COUNTIF($E$9:$E$108,"&gt;="&amp;TODAY())=0,"None scheduled",INDEX($B$9:$B$108,MATCH(_xlfn.MINIFS($E$9:$E$108,$E$9:$E$108,"&gt;="&amp;TODAY()),$E$9:$E$108,0))&amp;"  ·  "&amp;TEXT(_xlfn.MINIFS($E$9:$E$108,$E$9:$E$108,"&gt;="&amp;TODAY()),"dd mmm yyyy"))</f>
        <v>Fernando Ivan SANTOS OSTROWSKI  ·  02 Nov 2026</v>
      </c>
      <c r="I5" s="13"/>
      <c r="J5" s="13"/>
    </row>
    <row r="6" customFormat="false" ht="13.5" hidden="false" customHeight="true" outlineLevel="0" collapsed="false">
      <c r="A6" s="8"/>
      <c r="B6" s="8"/>
      <c r="C6" s="9"/>
      <c r="D6" s="9"/>
      <c r="E6" s="9"/>
      <c r="F6" s="11"/>
      <c r="G6" s="12"/>
      <c r="H6" s="12"/>
      <c r="I6" s="13"/>
      <c r="J6" s="13"/>
    </row>
    <row r="7" customFormat="false" ht="9.75" hidden="false" customHeight="true" outlineLevel="0" collapsed="false"/>
    <row r="8" customFormat="false" ht="33.75" hidden="false" customHeight="true" outlineLevel="0" collapsed="false">
      <c r="A8" s="14" t="s">
        <v>8</v>
      </c>
      <c r="B8" s="14" t="s">
        <v>9</v>
      </c>
      <c r="C8" s="14" t="s">
        <v>10</v>
      </c>
      <c r="D8" s="14" t="s">
        <v>97</v>
      </c>
      <c r="E8" s="14" t="s">
        <v>98</v>
      </c>
      <c r="F8" s="14" t="s">
        <v>13</v>
      </c>
      <c r="G8" s="14" t="s">
        <v>14</v>
      </c>
      <c r="H8" s="14" t="s">
        <v>99</v>
      </c>
      <c r="I8" s="14" t="s">
        <v>16</v>
      </c>
      <c r="J8" s="14" t="s">
        <v>17</v>
      </c>
    </row>
    <row r="9" customFormat="false" ht="19.5" hidden="false" customHeight="true" outlineLevel="0" collapsed="false">
      <c r="A9" s="15" t="n">
        <f aca="false">IF(B9="","",COUNTA($B$9:B9))</f>
        <v>1</v>
      </c>
      <c r="B9" s="16" t="s">
        <v>40</v>
      </c>
      <c r="C9" s="17" t="s">
        <v>39</v>
      </c>
      <c r="D9" s="18" t="s">
        <v>38</v>
      </c>
      <c r="E9" s="19" t="n">
        <v>46237</v>
      </c>
      <c r="F9" s="20" t="n">
        <f aca="true">IF(OR(B9="",E9=""),"",E9-TODAY())</f>
        <v>-87</v>
      </c>
      <c r="G9" s="21" t="str">
        <f aca="true">IF(B9="","",IF(E9="","Date TBC",IF(E9&lt;TODAY(),"Departed",IF(E9-TODAY()&lt;=14,"Due ≤ 14 days",IF(E9-TODAY()&lt;=30,"Due ≤ 30 days","Upcoming")))))</f>
        <v>Departed</v>
      </c>
      <c r="H9" s="22" t="n">
        <f aca="false">IF(OR(B9="",D9=""),"",IF(D9="New position","New position",IF(COUNTIF('BoM Sheet'!$B$9:$B$108,"*"&amp;D9)=0,"Not on BoM list",IF(_xlfn.MAXIFS('BoM Sheet'!$E$9:$E$108,'BoM Sheet'!$B$9:$B$108,"*"&amp;D9)=0,"Date TBC",_xlfn.MAXIFS('BoM Sheet'!$E$9:$E$108,'BoM Sheet'!$B$9:$B$108,"*"&amp;D9)))))</f>
        <v>46221</v>
      </c>
      <c r="I9" s="20" t="n">
        <f aca="false">IF(AND(ISNUMBER(E9),ISNUMBER(H9)),E9-H9,"")</f>
        <v>16</v>
      </c>
      <c r="J9" s="17"/>
    </row>
    <row r="10" customFormat="false" ht="19.5" hidden="false" customHeight="true" outlineLevel="0" collapsed="false">
      <c r="A10" s="23" t="n">
        <f aca="false">IF(B10="","",COUNTA($B$9:B10))</f>
        <v>2</v>
      </c>
      <c r="B10" s="24" t="s">
        <v>29</v>
      </c>
      <c r="C10" s="25" t="s">
        <v>28</v>
      </c>
      <c r="D10" s="26" t="s">
        <v>27</v>
      </c>
      <c r="E10" s="27" t="n">
        <v>46175</v>
      </c>
      <c r="F10" s="28" t="n">
        <f aca="true">IF(OR(B10="",E10=""),"",E10-TODAY())</f>
        <v>-149</v>
      </c>
      <c r="G10" s="29" t="str">
        <f aca="true">IF(B10="","",IF(E10="","Date TBC",IF(E10&lt;TODAY(),"Departed",IF(E10-TODAY()&lt;=14,"Due ≤ 14 days",IF(E10-TODAY()&lt;=30,"Due ≤ 30 days","Upcoming")))))</f>
        <v>Departed</v>
      </c>
      <c r="H10" s="30" t="n">
        <f aca="false">IF(OR(B10="",D10=""),"",IF(D10="New position","New position",IF(COUNTIF('BoM Sheet'!$B$9:$B$108,"*"&amp;D10)=0,"Not on BoM list",IF(_xlfn.MAXIFS('BoM Sheet'!$E$9:$E$108,'BoM Sheet'!$B$9:$B$108,"*"&amp;D10)=0,"Date TBC",_xlfn.MAXIFS('BoM Sheet'!$E$9:$E$108,'BoM Sheet'!$B$9:$B$108,"*"&amp;D10)))))</f>
        <v>46165</v>
      </c>
      <c r="I10" s="28" t="n">
        <f aca="false">IF(AND(ISNUMBER(E10),ISNUMBER(H10)),E10-H10,"")</f>
        <v>10</v>
      </c>
      <c r="J10" s="25"/>
    </row>
    <row r="11" customFormat="false" ht="19.5" hidden="false" customHeight="true" outlineLevel="0" collapsed="false">
      <c r="A11" s="15" t="n">
        <f aca="false">IF(B11="","",COUNTA($B$9:B11))</f>
        <v>3</v>
      </c>
      <c r="B11" s="16" t="s">
        <v>67</v>
      </c>
      <c r="C11" s="17" t="s">
        <v>66</v>
      </c>
      <c r="D11" s="18" t="s">
        <v>65</v>
      </c>
      <c r="E11" s="19"/>
      <c r="F11" s="20" t="str">
        <f aca="true">IF(OR(B11="",E11=""),"",E11-TODAY())</f>
        <v/>
      </c>
      <c r="G11" s="21" t="str">
        <f aca="true">IF(B11="","",IF(E11="","Date TBC",IF(E11&lt;TODAY(),"Departed",IF(E11-TODAY()&lt;=14,"Due ≤ 14 days",IF(E11-TODAY()&lt;=30,"Due ≤ 30 days","Upcoming")))))</f>
        <v>Date TBC</v>
      </c>
      <c r="H11" s="22" t="n">
        <f aca="false">IF(OR(B11="",D11=""),"",IF(D11="New position","New position",IF(COUNTIF('BoM Sheet'!$B$9:$B$108,"*"&amp;D11)=0,"Not on BoM list",IF(_xlfn.MAXIFS('BoM Sheet'!$E$9:$E$108,'BoM Sheet'!$B$9:$B$108,"*"&amp;D11)=0,"Date TBC",_xlfn.MAXIFS('BoM Sheet'!$E$9:$E$108,'BoM Sheet'!$B$9:$B$108,"*"&amp;D11)))))</f>
        <v>46313</v>
      </c>
      <c r="I11" s="20" t="str">
        <f aca="false">IF(AND(ISNUMBER(E11),ISNUMBER(H11)),E11-H11,"")</f>
        <v/>
      </c>
      <c r="J11" s="17"/>
    </row>
    <row r="12" customFormat="false" ht="19.5" hidden="false" customHeight="true" outlineLevel="0" collapsed="false">
      <c r="A12" s="23" t="n">
        <f aca="false">IF(B12="","",COUNTA($B$9:B12))</f>
        <v>4</v>
      </c>
      <c r="B12" s="24" t="s">
        <v>52</v>
      </c>
      <c r="C12" s="25" t="s">
        <v>51</v>
      </c>
      <c r="D12" s="26" t="s">
        <v>50</v>
      </c>
      <c r="E12" s="27"/>
      <c r="F12" s="28" t="str">
        <f aca="true">IF(OR(B12="",E12=""),"",E12-TODAY())</f>
        <v/>
      </c>
      <c r="G12" s="29" t="str">
        <f aca="true">IF(B12="","",IF(E12="","Date TBC",IF(E12&lt;TODAY(),"Departed",IF(E12-TODAY()&lt;=14,"Due ≤ 14 days",IF(E12-TODAY()&lt;=30,"Due ≤ 30 days","Upcoming")))))</f>
        <v>Date TBC</v>
      </c>
      <c r="H12" s="30" t="n">
        <f aca="false">IF(OR(B12="",D12=""),"",IF(D12="New position","New position",IF(COUNTIF('BoM Sheet'!$B$9:$B$108,"*"&amp;D12)=0,"Not on BoM list",IF(_xlfn.MAXIFS('BoM Sheet'!$E$9:$E$108,'BoM Sheet'!$B$9:$B$108,"*"&amp;D12)=0,"Date TBC",_xlfn.MAXIFS('BoM Sheet'!$E$9:$E$108,'BoM Sheet'!$B$9:$B$108,"*"&amp;D12)))))</f>
        <v>46236</v>
      </c>
      <c r="I12" s="28" t="str">
        <f aca="false">IF(AND(ISNUMBER(E12),ISNUMBER(H12)),E12-H12,"")</f>
        <v/>
      </c>
      <c r="J12" s="25"/>
    </row>
    <row r="13" customFormat="false" ht="19.5" hidden="false" customHeight="true" outlineLevel="0" collapsed="false">
      <c r="A13" s="15" t="n">
        <f aca="false">IF(B13="","",COUNTA($B$9:B13))</f>
        <v>5</v>
      </c>
      <c r="B13" s="16" t="s">
        <v>26</v>
      </c>
      <c r="C13" s="17" t="s">
        <v>25</v>
      </c>
      <c r="D13" s="18" t="s">
        <v>24</v>
      </c>
      <c r="E13" s="19"/>
      <c r="F13" s="20" t="str">
        <f aca="true">IF(OR(B13="",E13=""),"",E13-TODAY())</f>
        <v/>
      </c>
      <c r="G13" s="21" t="str">
        <f aca="true">IF(B13="","",IF(E13="","Date TBC",IF(E13&lt;TODAY(),"Departed",IF(E13-TODAY()&lt;=14,"Due ≤ 14 days",IF(E13-TODAY()&lt;=30,"Due ≤ 30 days","Upcoming")))))</f>
        <v>Date TBC</v>
      </c>
      <c r="H13" s="22" t="n">
        <f aca="false">IF(OR(B13="",D13=""),"",IF(D13="New position","New position",IF(COUNTIF('BoM Sheet'!$B$9:$B$108,"*"&amp;D13)=0,"Not on BoM list",IF(_xlfn.MAXIFS('BoM Sheet'!$E$9:$E$108,'BoM Sheet'!$B$9:$B$108,"*"&amp;D13)=0,"Date TBC",_xlfn.MAXIFS('BoM Sheet'!$E$9:$E$108,'BoM Sheet'!$B$9:$B$108,"*"&amp;D13)))))</f>
        <v>46138</v>
      </c>
      <c r="I13" s="20" t="str">
        <f aca="false">IF(AND(ISNUMBER(E13),ISNUMBER(H13)),E13-H13,"")</f>
        <v/>
      </c>
      <c r="J13" s="17"/>
    </row>
    <row r="14" customFormat="false" ht="19.5" hidden="false" customHeight="true" outlineLevel="0" collapsed="false">
      <c r="A14" s="23" t="n">
        <f aca="false">IF(B14="","",COUNTA($B$9:B14))</f>
        <v>6</v>
      </c>
      <c r="B14" s="24" t="s">
        <v>20</v>
      </c>
      <c r="C14" s="25" t="s">
        <v>19</v>
      </c>
      <c r="D14" s="26" t="s">
        <v>18</v>
      </c>
      <c r="E14" s="27"/>
      <c r="F14" s="28" t="str">
        <f aca="true">IF(OR(B14="",E14=""),"",E14-TODAY())</f>
        <v/>
      </c>
      <c r="G14" s="29" t="str">
        <f aca="true">IF(B14="","",IF(E14="","Date TBC",IF(E14&lt;TODAY(),"Departed",IF(E14-TODAY()&lt;=14,"Due ≤ 14 days",IF(E14-TODAY()&lt;=30,"Due ≤ 30 days","Upcoming")))))</f>
        <v>Date TBC</v>
      </c>
      <c r="H14" s="30" t="n">
        <f aca="false">IF(OR(B14="",D14=""),"",IF(D14="New position","New position",IF(COUNTIF('BoM Sheet'!$B$9:$B$108,"*"&amp;D14)=0,"Not on BoM list",IF(_xlfn.MAXIFS('BoM Sheet'!$E$9:$E$108,'BoM Sheet'!$B$9:$B$108,"*"&amp;D14)=0,"Date TBC",_xlfn.MAXIFS('BoM Sheet'!$E$9:$E$108,'BoM Sheet'!$B$9:$B$108,"*"&amp;D14)))))</f>
        <v>46127</v>
      </c>
      <c r="I14" s="28" t="str">
        <f aca="false">IF(AND(ISNUMBER(E14),ISNUMBER(H14)),E14-H14,"")</f>
        <v/>
      </c>
      <c r="J14" s="25"/>
    </row>
    <row r="15" customFormat="false" ht="19.5" hidden="false" customHeight="true" outlineLevel="0" collapsed="false">
      <c r="A15" s="15" t="n">
        <f aca="false">IF(B15="","",COUNTA($B$9:B15))</f>
        <v>7</v>
      </c>
      <c r="B15" s="16" t="s">
        <v>55</v>
      </c>
      <c r="C15" s="17" t="s">
        <v>54</v>
      </c>
      <c r="D15" s="18" t="s">
        <v>53</v>
      </c>
      <c r="E15" s="19"/>
      <c r="F15" s="20" t="str">
        <f aca="true">IF(OR(B15="",E15=""),"",E15-TODAY())</f>
        <v/>
      </c>
      <c r="G15" s="21" t="str">
        <f aca="true">IF(B15="","",IF(E15="","Date TBC",IF(E15&lt;TODAY(),"Departed",IF(E15-TODAY()&lt;=14,"Due ≤ 14 days",IF(E15-TODAY()&lt;=30,"Due ≤ 30 days","Upcoming")))))</f>
        <v>Date TBC</v>
      </c>
      <c r="H15" s="22" t="n">
        <f aca="false">IF(OR(B15="",D15=""),"",IF(D15="New position","New position",IF(COUNTIF('BoM Sheet'!$B$9:$B$108,"*"&amp;D15)=0,"Not on BoM list",IF(_xlfn.MAXIFS('BoM Sheet'!$E$9:$E$108,'BoM Sheet'!$B$9:$B$108,"*"&amp;D15)=0,"Date TBC",_xlfn.MAXIFS('BoM Sheet'!$E$9:$E$108,'BoM Sheet'!$B$9:$B$108,"*"&amp;D15)))))</f>
        <v>46266</v>
      </c>
      <c r="I15" s="20" t="str">
        <f aca="false">IF(AND(ISNUMBER(E15),ISNUMBER(H15)),E15-H15,"")</f>
        <v/>
      </c>
      <c r="J15" s="17"/>
    </row>
    <row r="16" customFormat="false" ht="19.5" hidden="false" customHeight="true" outlineLevel="0" collapsed="false">
      <c r="A16" s="23" t="n">
        <f aca="false">IF(B16="","",COUNTA($B$9:B16))</f>
        <v>8</v>
      </c>
      <c r="B16" s="24" t="s">
        <v>23</v>
      </c>
      <c r="C16" s="25" t="s">
        <v>22</v>
      </c>
      <c r="D16" s="26" t="s">
        <v>21</v>
      </c>
      <c r="E16" s="27"/>
      <c r="F16" s="28" t="str">
        <f aca="true">IF(OR(B16="",E16=""),"",E16-TODAY())</f>
        <v/>
      </c>
      <c r="G16" s="29" t="str">
        <f aca="true">IF(B16="","",IF(E16="","Date TBC",IF(E16&lt;TODAY(),"Departed",IF(E16-TODAY()&lt;=14,"Due ≤ 14 days",IF(E16-TODAY()&lt;=30,"Due ≤ 30 days","Upcoming")))))</f>
        <v>Date TBC</v>
      </c>
      <c r="H16" s="30" t="n">
        <f aca="false">IF(OR(B16="",D16=""),"",IF(D16="New position","New position",IF(COUNTIF('BoM Sheet'!$B$9:$B$108,"*"&amp;D16)=0,"Not on BoM list",IF(_xlfn.MAXIFS('BoM Sheet'!$E$9:$E$108,'BoM Sheet'!$B$9:$B$108,"*"&amp;D16)=0,"Date TBC",_xlfn.MAXIFS('BoM Sheet'!$E$9:$E$108,'BoM Sheet'!$B$9:$B$108,"*"&amp;D16)))))</f>
        <v>46139</v>
      </c>
      <c r="I16" s="28" t="str">
        <f aca="false">IF(AND(ISNUMBER(E16),ISNUMBER(H16)),E16-H16,"")</f>
        <v/>
      </c>
      <c r="J16" s="25"/>
    </row>
    <row r="17" customFormat="false" ht="19.5" hidden="false" customHeight="true" outlineLevel="0" collapsed="false">
      <c r="A17" s="15" t="n">
        <f aca="false">IF(B17="","",COUNTA($B$9:B17))</f>
        <v>9</v>
      </c>
      <c r="B17" s="16" t="s">
        <v>32</v>
      </c>
      <c r="C17" s="17" t="s">
        <v>31</v>
      </c>
      <c r="D17" s="18" t="s">
        <v>30</v>
      </c>
      <c r="E17" s="19" t="n">
        <v>46177</v>
      </c>
      <c r="F17" s="20" t="n">
        <f aca="true">IF(OR(B17="",E17=""),"",E17-TODAY())</f>
        <v>-147</v>
      </c>
      <c r="G17" s="21" t="str">
        <f aca="true">IF(B17="","",IF(E17="","Date TBC",IF(E17&lt;TODAY(),"Departed",IF(E17-TODAY()&lt;=14,"Due ≤ 14 days",IF(E17-TODAY()&lt;=30,"Due ≤ 30 days","Upcoming")))))</f>
        <v>Departed</v>
      </c>
      <c r="H17" s="22" t="n">
        <f aca="false">IF(OR(B17="",D17=""),"",IF(D17="New position","New position",IF(COUNTIF('BoM Sheet'!$B$9:$B$108,"*"&amp;D17)=0,"Not on BoM list",IF(_xlfn.MAXIFS('BoM Sheet'!$E$9:$E$108,'BoM Sheet'!$B$9:$B$108,"*"&amp;D17)=0,"Date TBC",_xlfn.MAXIFS('BoM Sheet'!$E$9:$E$108,'BoM Sheet'!$B$9:$B$108,"*"&amp;D17)))))</f>
        <v>46167</v>
      </c>
      <c r="I17" s="20" t="n">
        <f aca="false">IF(AND(ISNUMBER(E17),ISNUMBER(H17)),E17-H17,"")</f>
        <v>10</v>
      </c>
      <c r="J17" s="17"/>
    </row>
    <row r="18" customFormat="false" ht="19.5" hidden="false" customHeight="true" outlineLevel="0" collapsed="false">
      <c r="A18" s="23" t="n">
        <f aca="false">IF(B18="","",COUNTA($B$9:B18))</f>
        <v>10</v>
      </c>
      <c r="B18" s="24" t="s">
        <v>34</v>
      </c>
      <c r="C18" s="25" t="s">
        <v>25</v>
      </c>
      <c r="D18" s="26" t="s">
        <v>33</v>
      </c>
      <c r="E18" s="27"/>
      <c r="F18" s="28" t="str">
        <f aca="true">IF(OR(B18="",E18=""),"",E18-TODAY())</f>
        <v/>
      </c>
      <c r="G18" s="29" t="str">
        <f aca="true">IF(B18="","",IF(E18="","Date TBC",IF(E18&lt;TODAY(),"Departed",IF(E18-TODAY()&lt;=14,"Due ≤ 14 days",IF(E18-TODAY()&lt;=30,"Due ≤ 30 days","Upcoming")))))</f>
        <v>Date TBC</v>
      </c>
      <c r="H18" s="30" t="n">
        <f aca="false">IF(OR(B18="",D18=""),"",IF(D18="New position","New position",IF(COUNTIF('BoM Sheet'!$B$9:$B$108,"*"&amp;D18)=0,"Not on BoM list",IF(_xlfn.MAXIFS('BoM Sheet'!$E$9:$E$108,'BoM Sheet'!$B$9:$B$108,"*"&amp;D18)=0,"Date TBC",_xlfn.MAXIFS('BoM Sheet'!$E$9:$E$108,'BoM Sheet'!$B$9:$B$108,"*"&amp;D18)))))</f>
        <v>46181</v>
      </c>
      <c r="I18" s="28" t="str">
        <f aca="false">IF(AND(ISNUMBER(E18),ISNUMBER(H18)),E18-H18,"")</f>
        <v/>
      </c>
      <c r="J18" s="25"/>
    </row>
    <row r="19" customFormat="false" ht="19.5" hidden="false" customHeight="true" outlineLevel="0" collapsed="false">
      <c r="A19" s="15" t="n">
        <f aca="false">IF(B19="","",COUNTA($B$9:B19))</f>
        <v>11</v>
      </c>
      <c r="B19" s="16" t="s">
        <v>37</v>
      </c>
      <c r="C19" s="17" t="s">
        <v>36</v>
      </c>
      <c r="D19" s="18" t="s">
        <v>35</v>
      </c>
      <c r="E19" s="19"/>
      <c r="F19" s="20" t="str">
        <f aca="true">IF(OR(B19="",E19=""),"",E19-TODAY())</f>
        <v/>
      </c>
      <c r="G19" s="21" t="str">
        <f aca="true">IF(B19="","",IF(E19="","Date TBC",IF(E19&lt;TODAY(),"Departed",IF(E19-TODAY()&lt;=14,"Due ≤ 14 days",IF(E19-TODAY()&lt;=30,"Due ≤ 30 days","Upcoming")))))</f>
        <v>Date TBC</v>
      </c>
      <c r="H19" s="22" t="n">
        <f aca="false">IF(OR(B19="",D19=""),"",IF(D19="New position","New position",IF(COUNTIF('BoM Sheet'!$B$9:$B$108,"*"&amp;D19)=0,"Not on BoM list",IF(_xlfn.MAXIFS('BoM Sheet'!$E$9:$E$108,'BoM Sheet'!$B$9:$B$108,"*"&amp;D19)=0,"Date TBC",_xlfn.MAXIFS('BoM Sheet'!$E$9:$E$108,'BoM Sheet'!$B$9:$B$108,"*"&amp;D19)))))</f>
        <v>46216</v>
      </c>
      <c r="I19" s="20" t="str">
        <f aca="false">IF(AND(ISNUMBER(E19),ISNUMBER(H19)),E19-H19,"")</f>
        <v/>
      </c>
      <c r="J19" s="17"/>
    </row>
    <row r="20" customFormat="false" ht="19.5" hidden="false" customHeight="true" outlineLevel="0" collapsed="false">
      <c r="A20" s="23" t="n">
        <f aca="false">IF(B20="","",COUNTA($B$9:B20))</f>
        <v>12</v>
      </c>
      <c r="B20" s="24" t="s">
        <v>46</v>
      </c>
      <c r="C20" s="25" t="s">
        <v>45</v>
      </c>
      <c r="D20" s="26" t="s">
        <v>44</v>
      </c>
      <c r="E20" s="27" t="n">
        <v>46234</v>
      </c>
      <c r="F20" s="28" t="n">
        <f aca="true">IF(OR(B20="",E20=""),"",E20-TODAY())</f>
        <v>-90</v>
      </c>
      <c r="G20" s="29" t="str">
        <f aca="true">IF(B20="","",IF(E20="","Date TBC",IF(E20&lt;TODAY(),"Departed",IF(E20-TODAY()&lt;=14,"Due ≤ 14 days",IF(E20-TODAY()&lt;=30,"Due ≤ 30 days","Upcoming")))))</f>
        <v>Departed</v>
      </c>
      <c r="H20" s="30" t="n">
        <f aca="false">IF(OR(B20="",D20=""),"",IF(D20="New position","New position",IF(COUNTIF('BoM Sheet'!$B$9:$B$108,"*"&amp;D20)=0,"Not on BoM list",IF(_xlfn.MAXIFS('BoM Sheet'!$E$9:$E$108,'BoM Sheet'!$B$9:$B$108,"*"&amp;D20)=0,"Date TBC",_xlfn.MAXIFS('BoM Sheet'!$E$9:$E$108,'BoM Sheet'!$B$9:$B$108,"*"&amp;D20)))))</f>
        <v>46228</v>
      </c>
      <c r="I20" s="28" t="n">
        <f aca="false">IF(AND(ISNUMBER(E20),ISNUMBER(H20)),E20-H20,"")</f>
        <v>6</v>
      </c>
      <c r="J20" s="25"/>
    </row>
    <row r="21" customFormat="false" ht="19.5" hidden="false" customHeight="true" outlineLevel="0" collapsed="false">
      <c r="A21" s="15" t="n">
        <f aca="false">IF(B21="","",COUNTA($B$9:B21))</f>
        <v>13</v>
      </c>
      <c r="B21" s="16" t="s">
        <v>43</v>
      </c>
      <c r="C21" s="17" t="s">
        <v>42</v>
      </c>
      <c r="D21" s="18" t="s">
        <v>41</v>
      </c>
      <c r="E21" s="19" t="n">
        <v>46232</v>
      </c>
      <c r="F21" s="20" t="n">
        <f aca="true">IF(OR(B21="",E21=""),"",E21-TODAY())</f>
        <v>-92</v>
      </c>
      <c r="G21" s="21" t="str">
        <f aca="true">IF(B21="","",IF(E21="","Date TBC",IF(E21&lt;TODAY(),"Departed",IF(E21-TODAY()&lt;=14,"Due ≤ 14 days",IF(E21-TODAY()&lt;=30,"Due ≤ 30 days","Upcoming")))))</f>
        <v>Departed</v>
      </c>
      <c r="H21" s="22" t="n">
        <f aca="false">IF(OR(B21="",D21=""),"",IF(D21="New position","New position",IF(COUNTIF('BoM Sheet'!$B$9:$B$108,"*"&amp;D21)=0,"Not on BoM list",IF(_xlfn.MAXIFS('BoM Sheet'!$E$9:$E$108,'BoM Sheet'!$B$9:$B$108,"*"&amp;D21)=0,"Date TBC",_xlfn.MAXIFS('BoM Sheet'!$E$9:$E$108,'BoM Sheet'!$B$9:$B$108,"*"&amp;D21)))))</f>
        <v>46223</v>
      </c>
      <c r="I21" s="20" t="n">
        <f aca="false">IF(AND(ISNUMBER(E21),ISNUMBER(H21)),E21-H21,"")</f>
        <v>9</v>
      </c>
      <c r="J21" s="17"/>
    </row>
    <row r="22" customFormat="false" ht="19.5" hidden="false" customHeight="true" outlineLevel="0" collapsed="false">
      <c r="A22" s="23" t="n">
        <f aca="false">IF(B22="","",COUNTA($B$9:B22))</f>
        <v>14</v>
      </c>
      <c r="B22" s="24" t="s">
        <v>100</v>
      </c>
      <c r="C22" s="25" t="s">
        <v>101</v>
      </c>
      <c r="D22" s="26" t="s">
        <v>76</v>
      </c>
      <c r="E22" s="27" t="n">
        <v>46470</v>
      </c>
      <c r="F22" s="28" t="n">
        <f aca="true">IF(OR(B22="",E22=""),"",E22-TODAY())</f>
        <v>146</v>
      </c>
      <c r="G22" s="29" t="str">
        <f aca="true">IF(B22="","",IF(E22="","Date TBC",IF(E22&lt;TODAY(),"Departed",IF(E22-TODAY()&lt;=14,"Due ≤ 14 days",IF(E22-TODAY()&lt;=30,"Due ≤ 30 days","Upcoming")))))</f>
        <v>Upcoming</v>
      </c>
      <c r="H22" s="30" t="n">
        <f aca="false">IF(OR(B22="",D22=""),"",IF(D22="New position","New position",IF(COUNTIF('BoM Sheet'!$B$9:$B$108,"*"&amp;D22)=0,"Not on BoM list",IF(_xlfn.MAXIFS('BoM Sheet'!$E$9:$E$108,'BoM Sheet'!$B$9:$B$108,"*"&amp;D22)=0,"Date TBC",_xlfn.MAXIFS('BoM Sheet'!$E$9:$E$108,'BoM Sheet'!$B$9:$B$108,"*"&amp;D22)))))</f>
        <v>46470</v>
      </c>
      <c r="I22" s="28" t="n">
        <f aca="false">IF(AND(ISNUMBER(E22),ISNUMBER(H22)),E22-H22,"")</f>
        <v>0</v>
      </c>
      <c r="J22" s="25"/>
    </row>
    <row r="23" customFormat="false" ht="19.5" hidden="false" customHeight="true" outlineLevel="0" collapsed="false">
      <c r="A23" s="15" t="n">
        <f aca="false">IF(B23="","",COUNTA($B$9:B23))</f>
        <v>15</v>
      </c>
      <c r="B23" s="16" t="s">
        <v>102</v>
      </c>
      <c r="C23" s="17" t="s">
        <v>103</v>
      </c>
      <c r="D23" s="18" t="s">
        <v>56</v>
      </c>
      <c r="E23" s="19" t="n">
        <v>46281</v>
      </c>
      <c r="F23" s="20" t="n">
        <f aca="true">IF(OR(B23="",E23=""),"",E23-TODAY())</f>
        <v>-43</v>
      </c>
      <c r="G23" s="21" t="str">
        <f aca="true">IF(B23="","",IF(E23="","Date TBC",IF(E23&lt;TODAY(),"Departed",IF(E23-TODAY()&lt;=14,"Due ≤ 14 days",IF(E23-TODAY()&lt;=30,"Due ≤ 30 days","Upcoming")))))</f>
        <v>Departed</v>
      </c>
      <c r="H23" s="22" t="n">
        <f aca="false">IF(OR(B23="",D23=""),"",IF(D23="New position","New position",IF(COUNTIF('BoM Sheet'!$B$9:$B$108,"*"&amp;D23)=0,"Not on BoM list",IF(_xlfn.MAXIFS('BoM Sheet'!$E$9:$E$108,'BoM Sheet'!$B$9:$B$108,"*"&amp;D23)=0,"Date TBC",_xlfn.MAXIFS('BoM Sheet'!$E$9:$E$108,'BoM Sheet'!$B$9:$B$108,"*"&amp;D23)))))</f>
        <v>46266</v>
      </c>
      <c r="I23" s="20" t="n">
        <f aca="false">IF(AND(ISNUMBER(E23),ISNUMBER(H23)),E23-H23,"")</f>
        <v>15</v>
      </c>
      <c r="J23" s="17"/>
    </row>
    <row r="24" customFormat="false" ht="19.5" hidden="false" customHeight="true" outlineLevel="0" collapsed="false">
      <c r="A24" s="23" t="n">
        <f aca="false">IF(B24="","",COUNTA($B$9:B24))</f>
        <v>16</v>
      </c>
      <c r="B24" s="24" t="s">
        <v>49</v>
      </c>
      <c r="C24" s="25" t="s">
        <v>48</v>
      </c>
      <c r="D24" s="26" t="s">
        <v>47</v>
      </c>
      <c r="E24" s="27" t="n">
        <v>46257</v>
      </c>
      <c r="F24" s="28" t="n">
        <f aca="true">IF(OR(B24="",E24=""),"",E24-TODAY())</f>
        <v>-67</v>
      </c>
      <c r="G24" s="29" t="str">
        <f aca="true">IF(B24="","",IF(E24="","Date TBC",IF(E24&lt;TODAY(),"Departed",IF(E24-TODAY()&lt;=14,"Due ≤ 14 days",IF(E24-TODAY()&lt;=30,"Due ≤ 30 days","Upcoming")))))</f>
        <v>Departed</v>
      </c>
      <c r="H24" s="30" t="n">
        <f aca="false">IF(OR(B24="",D24=""),"",IF(D24="New position","New position",IF(COUNTIF('BoM Sheet'!$B$9:$B$108,"*"&amp;D24)=0,"Not on BoM list",IF(_xlfn.MAXIFS('BoM Sheet'!$E$9:$E$108,'BoM Sheet'!$B$9:$B$108,"*"&amp;D24)=0,"Date TBC",_xlfn.MAXIFS('BoM Sheet'!$E$9:$E$108,'BoM Sheet'!$B$9:$B$108,"*"&amp;D24)))))</f>
        <v>46257</v>
      </c>
      <c r="I24" s="28" t="n">
        <f aca="false">IF(AND(ISNUMBER(E24),ISNUMBER(H24)),E24-H24,"")</f>
        <v>0</v>
      </c>
      <c r="J24" s="25"/>
    </row>
    <row r="25" customFormat="false" ht="19.5" hidden="false" customHeight="true" outlineLevel="0" collapsed="false">
      <c r="A25" s="15" t="n">
        <f aca="false">IF(B25="","",COUNTA($B$9:B25))</f>
        <v>17</v>
      </c>
      <c r="B25" s="16" t="s">
        <v>70</v>
      </c>
      <c r="C25" s="17" t="s">
        <v>69</v>
      </c>
      <c r="D25" s="18" t="s">
        <v>68</v>
      </c>
      <c r="E25" s="19" t="n">
        <v>46314</v>
      </c>
      <c r="F25" s="20" t="n">
        <f aca="true">IF(OR(B25="",E25=""),"",E25-TODAY())</f>
        <v>-10</v>
      </c>
      <c r="G25" s="21" t="str">
        <f aca="true">IF(B25="","",IF(E25="","Date TBC",IF(E25&lt;TODAY(),"Departed",IF(E25-TODAY()&lt;=14,"Due ≤ 14 days",IF(E25-TODAY()&lt;=30,"Due ≤ 30 days","Upcoming")))))</f>
        <v>Departed</v>
      </c>
      <c r="H25" s="22" t="n">
        <f aca="false">IF(OR(B25="",D25=""),"",IF(D25="New position","New position",IF(COUNTIF('BoM Sheet'!$B$9:$B$108,"*"&amp;D25)=0,"Not on BoM list",IF(_xlfn.MAXIFS('BoM Sheet'!$E$9:$E$108,'BoM Sheet'!$B$9:$B$108,"*"&amp;D25)=0,"Date TBC",_xlfn.MAXIFS('BoM Sheet'!$E$9:$E$108,'BoM Sheet'!$B$9:$B$108,"*"&amp;D25)))))</f>
        <v>46314</v>
      </c>
      <c r="I25" s="20" t="n">
        <f aca="false">IF(AND(ISNUMBER(E25),ISNUMBER(H25)),E25-H25,"")</f>
        <v>0</v>
      </c>
      <c r="J25" s="17"/>
    </row>
    <row r="26" customFormat="false" ht="19.5" hidden="false" customHeight="true" outlineLevel="0" collapsed="false">
      <c r="A26" s="23" t="n">
        <f aca="false">IF(B26="","",COUNTA($B$9:B26))</f>
        <v>18</v>
      </c>
      <c r="B26" s="24" t="s">
        <v>104</v>
      </c>
      <c r="C26" s="25" t="s">
        <v>25</v>
      </c>
      <c r="D26" s="26"/>
      <c r="E26" s="27" t="n">
        <v>46387</v>
      </c>
      <c r="F26" s="28" t="n">
        <f aca="true">IF(OR(B26="",E26=""),"",E26-TODAY())</f>
        <v>63</v>
      </c>
      <c r="G26" s="29" t="str">
        <f aca="true">IF(B26="","",IF(E26="","Date TBC",IF(E26&lt;TODAY(),"Departed",IF(E26-TODAY()&lt;=14,"Due ≤ 14 days",IF(E26-TODAY()&lt;=30,"Due ≤ 30 days","Upcoming")))))</f>
        <v>Upcoming</v>
      </c>
      <c r="H26" s="30" t="str">
        <f aca="false">IF(OR(B26="",D26=""),"",IF(D26="New position","New position",IF(COUNTIF('BoM Sheet'!$B$9:$B$108,"*"&amp;D26)=0,"Not on BoM list",IF(_xlfn.MAXIFS('BoM Sheet'!$E$9:$E$108,'BoM Sheet'!$B$9:$B$108,"*"&amp;D26)=0,"Date TBC",_xlfn.MAXIFS('BoM Sheet'!$E$9:$E$108,'BoM Sheet'!$B$9:$B$108,"*"&amp;D26)))))</f>
        <v/>
      </c>
      <c r="I26" s="28" t="str">
        <f aca="false">IF(AND(ISNUMBER(E26),ISNUMBER(H26)),E26-H26,"")</f>
        <v/>
      </c>
      <c r="J26" s="25"/>
    </row>
    <row r="27" customFormat="false" ht="19.5" hidden="false" customHeight="true" outlineLevel="0" collapsed="false">
      <c r="A27" s="15" t="n">
        <f aca="false">IF(B27="","",COUNTA($B$9:B27))</f>
        <v>19</v>
      </c>
      <c r="B27" s="16" t="s">
        <v>105</v>
      </c>
      <c r="C27" s="17" t="s">
        <v>60</v>
      </c>
      <c r="D27" s="18" t="s">
        <v>59</v>
      </c>
      <c r="E27" s="19" t="n">
        <v>46284</v>
      </c>
      <c r="F27" s="20" t="n">
        <f aca="true">IF(OR(B27="",E27=""),"",E27-TODAY())</f>
        <v>-40</v>
      </c>
      <c r="G27" s="21" t="str">
        <f aca="true">IF(B27="","",IF(E27="","Date TBC",IF(E27&lt;TODAY(),"Departed",IF(E27-TODAY()&lt;=14,"Due ≤ 14 days",IF(E27-TODAY()&lt;=30,"Due ≤ 30 days","Upcoming")))))</f>
        <v>Departed</v>
      </c>
      <c r="H27" s="22" t="n">
        <f aca="false">IF(OR(B27="",D27=""),"",IF(D27="New position","New position",IF(COUNTIF('BoM Sheet'!$B$9:$B$108,"*"&amp;D27)=0,"Not on BoM list",IF(_xlfn.MAXIFS('BoM Sheet'!$E$9:$E$108,'BoM Sheet'!$B$9:$B$108,"*"&amp;D27)=0,"Date TBC",_xlfn.MAXIFS('BoM Sheet'!$E$9:$E$108,'BoM Sheet'!$B$9:$B$108,"*"&amp;D27)))))</f>
        <v>46272</v>
      </c>
      <c r="I27" s="20" t="n">
        <f aca="false">IF(AND(ISNUMBER(E27),ISNUMBER(H27)),E27-H27,"")</f>
        <v>12</v>
      </c>
      <c r="J27" s="17"/>
    </row>
    <row r="28" customFormat="false" ht="19.5" hidden="false" customHeight="true" outlineLevel="0" collapsed="false">
      <c r="A28" s="23" t="n">
        <f aca="false">IF(B28="","",COUNTA($B$9:B28))</f>
        <v>20</v>
      </c>
      <c r="B28" s="24" t="s">
        <v>106</v>
      </c>
      <c r="C28" s="25" t="s">
        <v>72</v>
      </c>
      <c r="D28" s="26" t="s">
        <v>71</v>
      </c>
      <c r="E28" s="27" t="n">
        <v>46328</v>
      </c>
      <c r="F28" s="28" t="n">
        <f aca="true">IF(OR(B28="",E28=""),"",E28-TODAY())</f>
        <v>4</v>
      </c>
      <c r="G28" s="29" t="str">
        <f aca="true">IF(B28="","",IF(E28="","Date TBC",IF(E28&lt;TODAY(),"Departed",IF(E28-TODAY()&lt;=14,"Due ≤ 14 days",IF(E28-TODAY()&lt;=30,"Due ≤ 30 days","Upcoming")))))</f>
        <v>Due ≤ 14 days</v>
      </c>
      <c r="H28" s="30" t="n">
        <f aca="false">IF(OR(B28="",D28=""),"",IF(D28="New position","New position",IF(COUNTIF('BoM Sheet'!$B$9:$B$108,"*"&amp;D28)=0,"Not on BoM list",IF(_xlfn.MAXIFS('BoM Sheet'!$E$9:$E$108,'BoM Sheet'!$B$9:$B$108,"*"&amp;D28)=0,"Date TBC",_xlfn.MAXIFS('BoM Sheet'!$E$9:$E$108,'BoM Sheet'!$B$9:$B$108,"*"&amp;D28)))))</f>
        <v>46328</v>
      </c>
      <c r="I28" s="28" t="n">
        <f aca="false">IF(AND(ISNUMBER(E28),ISNUMBER(H28)),E28-H28,"")</f>
        <v>0</v>
      </c>
      <c r="J28" s="25"/>
    </row>
    <row r="29" customFormat="false" ht="19.5" hidden="false" customHeight="true" outlineLevel="0" collapsed="false">
      <c r="A29" s="15" t="n">
        <f aca="false">IF(B29="","",COUNTA($B$9:B29))</f>
        <v>21</v>
      </c>
      <c r="B29" s="16" t="s">
        <v>67</v>
      </c>
      <c r="C29" s="17" t="s">
        <v>66</v>
      </c>
      <c r="D29" s="18" t="s">
        <v>65</v>
      </c>
      <c r="E29" s="19" t="n">
        <v>46313</v>
      </c>
      <c r="F29" s="20" t="n">
        <f aca="true">IF(OR(B29="",E29=""),"",E29-TODAY())</f>
        <v>-11</v>
      </c>
      <c r="G29" s="21" t="str">
        <f aca="true">IF(B29="","",IF(E29="","Date TBC",IF(E29&lt;TODAY(),"Departed",IF(E29-TODAY()&lt;=14,"Due ≤ 14 days",IF(E29-TODAY()&lt;=30,"Due ≤ 30 days","Upcoming")))))</f>
        <v>Departed</v>
      </c>
      <c r="H29" s="22" t="n">
        <f aca="false">IF(OR(B29="",D29=""),"",IF(D29="New position","New position",IF(COUNTIF('BoM Sheet'!$B$9:$B$108,"*"&amp;D29)=0,"Not on BoM list",IF(_xlfn.MAXIFS('BoM Sheet'!$E$9:$E$108,'BoM Sheet'!$B$9:$B$108,"*"&amp;D29)=0,"Date TBC",_xlfn.MAXIFS('BoM Sheet'!$E$9:$E$108,'BoM Sheet'!$B$9:$B$108,"*"&amp;D29)))))</f>
        <v>46313</v>
      </c>
      <c r="I29" s="20" t="n">
        <f aca="false">IF(AND(ISNUMBER(E29),ISNUMBER(H29)),E29-H29,"")</f>
        <v>0</v>
      </c>
      <c r="J29" s="17"/>
    </row>
    <row r="30" customFormat="false" ht="19.5" hidden="false" customHeight="true" outlineLevel="0" collapsed="false">
      <c r="A30" s="23" t="n">
        <f aca="false">IF(B30="","",COUNTA($B$9:B30))</f>
        <v>22</v>
      </c>
      <c r="B30" s="24" t="s">
        <v>75</v>
      </c>
      <c r="C30" s="25" t="s">
        <v>25</v>
      </c>
      <c r="D30" s="26" t="s">
        <v>107</v>
      </c>
      <c r="E30" s="27" t="n">
        <v>46398</v>
      </c>
      <c r="F30" s="28" t="n">
        <f aca="true">IF(OR(B30="",E30=""),"",E30-TODAY())</f>
        <v>74</v>
      </c>
      <c r="G30" s="29" t="str">
        <f aca="true">IF(B30="","",IF(E30="","Date TBC",IF(E30&lt;TODAY(),"Departed",IF(E30-TODAY()&lt;=14,"Due ≤ 14 days",IF(E30-TODAY()&lt;=30,"Due ≤ 30 days","Upcoming")))))</f>
        <v>Upcoming</v>
      </c>
      <c r="H30" s="30" t="n">
        <f aca="false">IF(OR(B30="",D30=""),"",IF(D30="New position","New position",IF(COUNTIF('BoM Sheet'!$B$9:$B$108,"*"&amp;D30)=0,"Not on BoM list",IF(_xlfn.MAXIFS('BoM Sheet'!$E$9:$E$108,'BoM Sheet'!$B$9:$B$108,"*"&amp;D30)=0,"Date TBC",_xlfn.MAXIFS('BoM Sheet'!$E$9:$E$108,'BoM Sheet'!$B$9:$B$108,"*"&amp;D30)))))</f>
        <v>46398</v>
      </c>
      <c r="I30" s="28" t="n">
        <f aca="false">IF(AND(ISNUMBER(E30),ISNUMBER(H30)),E30-H30,"")</f>
        <v>0</v>
      </c>
      <c r="J30" s="25"/>
    </row>
    <row r="31" customFormat="false" ht="19.5" hidden="false" customHeight="true" outlineLevel="0" collapsed="false">
      <c r="A31" s="15" t="n">
        <f aca="false">IF(B31="","",COUNTA($B$9:B31))</f>
        <v>23</v>
      </c>
      <c r="B31" s="16" t="s">
        <v>108</v>
      </c>
      <c r="C31" s="17" t="s">
        <v>109</v>
      </c>
      <c r="D31" s="18"/>
      <c r="E31" s="19" t="n">
        <v>46371</v>
      </c>
      <c r="F31" s="20" t="n">
        <f aca="true">IF(OR(B31="",E31=""),"",E31-TODAY())</f>
        <v>47</v>
      </c>
      <c r="G31" s="21" t="str">
        <f aca="true">IF(B31="","",IF(E31="","Date TBC",IF(E31&lt;TODAY(),"Departed",IF(E31-TODAY()&lt;=14,"Due ≤ 14 days",IF(E31-TODAY()&lt;=30,"Due ≤ 30 days","Upcoming")))))</f>
        <v>Upcoming</v>
      </c>
      <c r="H31" s="22" t="str">
        <f aca="false">IF(OR(B31="",D31=""),"",IF(D31="New position","New position",IF(COUNTIF('BoM Sheet'!$B$9:$B$108,"*"&amp;D31)=0,"Not on BoM list",IF(_xlfn.MAXIFS('BoM Sheet'!$E$9:$E$108,'BoM Sheet'!$B$9:$B$108,"*"&amp;D31)=0,"Date TBC",_xlfn.MAXIFS('BoM Sheet'!$E$9:$E$108,'BoM Sheet'!$B$9:$B$108,"*"&amp;D31)))))</f>
        <v/>
      </c>
      <c r="I31" s="20" t="str">
        <f aca="false">IF(AND(ISNUMBER(E31),ISNUMBER(H31)),E31-H31,"")</f>
        <v/>
      </c>
      <c r="J31" s="17"/>
    </row>
    <row r="32" customFormat="false" ht="19.5" hidden="false" customHeight="true" outlineLevel="0" collapsed="false">
      <c r="A32" s="23" t="str">
        <f aca="false">IF(B32="","",COUNTA($B$9:B32))</f>
        <v/>
      </c>
      <c r="B32" s="24"/>
      <c r="C32" s="25"/>
      <c r="D32" s="26"/>
      <c r="E32" s="27"/>
      <c r="F32" s="28" t="str">
        <f aca="true">IF(OR(B32="",E32=""),"",E32-TODAY())</f>
        <v/>
      </c>
      <c r="G32" s="29" t="str">
        <f aca="true">IF(B32="","",IF(E32="","Date TBC",IF(E32&lt;TODAY(),"Departed",IF(E32-TODAY()&lt;=14,"Due ≤ 14 days",IF(E32-TODAY()&lt;=30,"Due ≤ 30 days","Upcoming")))))</f>
        <v/>
      </c>
      <c r="H32" s="30" t="str">
        <f aca="false">IF(OR(B32="",D32=""),"",IF(D32="New position","New position",IF(COUNTIF('BoM Sheet'!$B$9:$B$108,"*"&amp;D32)=0,"Not on BoM list",IF(_xlfn.MAXIFS('BoM Sheet'!$E$9:$E$108,'BoM Sheet'!$B$9:$B$108,"*"&amp;D32)=0,"Date TBC",_xlfn.MAXIFS('BoM Sheet'!$E$9:$E$108,'BoM Sheet'!$B$9:$B$108,"*"&amp;D32)))))</f>
        <v/>
      </c>
      <c r="I32" s="28" t="str">
        <f aca="false">IF(AND(ISNUMBER(E32),ISNUMBER(H32)),E32-H32,"")</f>
        <v/>
      </c>
      <c r="J32" s="25"/>
    </row>
    <row r="33" customFormat="false" ht="19.5" hidden="false" customHeight="true" outlineLevel="0" collapsed="false">
      <c r="A33" s="15" t="str">
        <f aca="false">IF(B33="","",COUNTA($B$9:B33))</f>
        <v/>
      </c>
      <c r="B33" s="16"/>
      <c r="C33" s="17"/>
      <c r="D33" s="18"/>
      <c r="E33" s="19"/>
      <c r="F33" s="20" t="str">
        <f aca="true">IF(OR(B33="",E33=""),"",E33-TODAY())</f>
        <v/>
      </c>
      <c r="G33" s="21" t="str">
        <f aca="true">IF(B33="","",IF(E33="","Date TBC",IF(E33&lt;TODAY(),"Departed",IF(E33-TODAY()&lt;=14,"Due ≤ 14 days",IF(E33-TODAY()&lt;=30,"Due ≤ 30 days","Upcoming")))))</f>
        <v/>
      </c>
      <c r="H33" s="22" t="str">
        <f aca="false">IF(OR(B33="",D33=""),"",IF(D33="New position","New position",IF(COUNTIF('BoM Sheet'!$B$9:$B$108,"*"&amp;D33)=0,"Not on BoM list",IF(_xlfn.MAXIFS('BoM Sheet'!$E$9:$E$108,'BoM Sheet'!$B$9:$B$108,"*"&amp;D33)=0,"Date TBC",_xlfn.MAXIFS('BoM Sheet'!$E$9:$E$108,'BoM Sheet'!$B$9:$B$108,"*"&amp;D33)))))</f>
        <v/>
      </c>
      <c r="I33" s="20" t="str">
        <f aca="false">IF(AND(ISNUMBER(E33),ISNUMBER(H33)),E33-H33,"")</f>
        <v/>
      </c>
      <c r="J33" s="17"/>
    </row>
    <row r="34" customFormat="false" ht="19.5" hidden="false" customHeight="true" outlineLevel="0" collapsed="false">
      <c r="A34" s="23" t="str">
        <f aca="false">IF(B34="","",COUNTA($B$9:B34))</f>
        <v/>
      </c>
      <c r="B34" s="24"/>
      <c r="C34" s="25"/>
      <c r="D34" s="26"/>
      <c r="E34" s="27"/>
      <c r="F34" s="28" t="str">
        <f aca="true">IF(OR(B34="",E34=""),"",E34-TODAY())</f>
        <v/>
      </c>
      <c r="G34" s="29" t="str">
        <f aca="true">IF(B34="","",IF(E34="","Date TBC",IF(E34&lt;TODAY(),"Departed",IF(E34-TODAY()&lt;=14,"Due ≤ 14 days",IF(E34-TODAY()&lt;=30,"Due ≤ 30 days","Upcoming")))))</f>
        <v/>
      </c>
      <c r="H34" s="30" t="str">
        <f aca="false">IF(OR(B34="",D34=""),"",IF(D34="New position","New position",IF(COUNTIF('BoM Sheet'!$B$9:$B$108,"*"&amp;D34)=0,"Not on BoM list",IF(_xlfn.MAXIFS('BoM Sheet'!$E$9:$E$108,'BoM Sheet'!$B$9:$B$108,"*"&amp;D34)=0,"Date TBC",_xlfn.MAXIFS('BoM Sheet'!$E$9:$E$108,'BoM Sheet'!$B$9:$B$108,"*"&amp;D34)))))</f>
        <v/>
      </c>
      <c r="I34" s="28" t="str">
        <f aca="false">IF(AND(ISNUMBER(E34),ISNUMBER(H34)),E34-H34,"")</f>
        <v/>
      </c>
      <c r="J34" s="25"/>
    </row>
    <row r="35" customFormat="false" ht="19.5" hidden="false" customHeight="true" outlineLevel="0" collapsed="false">
      <c r="A35" s="15" t="str">
        <f aca="false">IF(B35="","",COUNTA($B$9:B35))</f>
        <v/>
      </c>
      <c r="B35" s="16"/>
      <c r="C35" s="17"/>
      <c r="D35" s="18"/>
      <c r="E35" s="19"/>
      <c r="F35" s="20" t="str">
        <f aca="true">IF(OR(B35="",E35=""),"",E35-TODAY())</f>
        <v/>
      </c>
      <c r="G35" s="21" t="str">
        <f aca="true">IF(B35="","",IF(E35="","Date TBC",IF(E35&lt;TODAY(),"Departed",IF(E35-TODAY()&lt;=14,"Due ≤ 14 days",IF(E35-TODAY()&lt;=30,"Due ≤ 30 days","Upcoming")))))</f>
        <v/>
      </c>
      <c r="H35" s="22" t="str">
        <f aca="false">IF(OR(B35="",D35=""),"",IF(D35="New position","New position",IF(COUNTIF('BoM Sheet'!$B$9:$B$108,"*"&amp;D35)=0,"Not on BoM list",IF(_xlfn.MAXIFS('BoM Sheet'!$E$9:$E$108,'BoM Sheet'!$B$9:$B$108,"*"&amp;D35)=0,"Date TBC",_xlfn.MAXIFS('BoM Sheet'!$E$9:$E$108,'BoM Sheet'!$B$9:$B$108,"*"&amp;D35)))))</f>
        <v/>
      </c>
      <c r="I35" s="20" t="str">
        <f aca="false">IF(AND(ISNUMBER(E35),ISNUMBER(H35)),E35-H35,"")</f>
        <v/>
      </c>
      <c r="J35" s="17"/>
    </row>
    <row r="36" customFormat="false" ht="19.5" hidden="false" customHeight="true" outlineLevel="0" collapsed="false">
      <c r="A36" s="23" t="str">
        <f aca="false">IF(B36="","",COUNTA($B$9:B36))</f>
        <v/>
      </c>
      <c r="B36" s="24"/>
      <c r="C36" s="25"/>
      <c r="D36" s="26"/>
      <c r="E36" s="27"/>
      <c r="F36" s="28" t="str">
        <f aca="true">IF(OR(B36="",E36=""),"",E36-TODAY())</f>
        <v/>
      </c>
      <c r="G36" s="29" t="str">
        <f aca="true">IF(B36="","",IF(E36="","Date TBC",IF(E36&lt;TODAY(),"Departed",IF(E36-TODAY()&lt;=14,"Due ≤ 14 days",IF(E36-TODAY()&lt;=30,"Due ≤ 30 days","Upcoming")))))</f>
        <v/>
      </c>
      <c r="H36" s="30" t="str">
        <f aca="false">IF(OR(B36="",D36=""),"",IF(D36="New position","New position",IF(COUNTIF('BoM Sheet'!$B$9:$B$108,"*"&amp;D36)=0,"Not on BoM list",IF(_xlfn.MAXIFS('BoM Sheet'!$E$9:$E$108,'BoM Sheet'!$B$9:$B$108,"*"&amp;D36)=0,"Date TBC",_xlfn.MAXIFS('BoM Sheet'!$E$9:$E$108,'BoM Sheet'!$B$9:$B$108,"*"&amp;D36)))))</f>
        <v/>
      </c>
      <c r="I36" s="28" t="str">
        <f aca="false">IF(AND(ISNUMBER(E36),ISNUMBER(H36)),E36-H36,"")</f>
        <v/>
      </c>
      <c r="J36" s="25"/>
    </row>
    <row r="37" customFormat="false" ht="19.5" hidden="false" customHeight="true" outlineLevel="0" collapsed="false">
      <c r="A37" s="15" t="str">
        <f aca="false">IF(B37="","",COUNTA($B$9:B37))</f>
        <v/>
      </c>
      <c r="B37" s="16"/>
      <c r="C37" s="17"/>
      <c r="D37" s="18"/>
      <c r="E37" s="19"/>
      <c r="F37" s="20" t="str">
        <f aca="true">IF(OR(B37="",E37=""),"",E37-TODAY())</f>
        <v/>
      </c>
      <c r="G37" s="21" t="str">
        <f aca="true">IF(B37="","",IF(E37="","Date TBC",IF(E37&lt;TODAY(),"Departed",IF(E37-TODAY()&lt;=14,"Due ≤ 14 days",IF(E37-TODAY()&lt;=30,"Due ≤ 30 days","Upcoming")))))</f>
        <v/>
      </c>
      <c r="H37" s="22" t="str">
        <f aca="false">IF(OR(B37="",D37=""),"",IF(D37="New position","New position",IF(COUNTIF('BoM Sheet'!$B$9:$B$108,"*"&amp;D37)=0,"Not on BoM list",IF(_xlfn.MAXIFS('BoM Sheet'!$E$9:$E$108,'BoM Sheet'!$B$9:$B$108,"*"&amp;D37)=0,"Date TBC",_xlfn.MAXIFS('BoM Sheet'!$E$9:$E$108,'BoM Sheet'!$B$9:$B$108,"*"&amp;D37)))))</f>
        <v/>
      </c>
      <c r="I37" s="20" t="str">
        <f aca="false">IF(AND(ISNUMBER(E37),ISNUMBER(H37)),E37-H37,"")</f>
        <v/>
      </c>
      <c r="J37" s="17"/>
    </row>
    <row r="38" customFormat="false" ht="19.5" hidden="false" customHeight="true" outlineLevel="0" collapsed="false">
      <c r="A38" s="23" t="str">
        <f aca="false">IF(B38="","",COUNTA($B$9:B38))</f>
        <v/>
      </c>
      <c r="B38" s="24"/>
      <c r="C38" s="25"/>
      <c r="D38" s="26"/>
      <c r="E38" s="27"/>
      <c r="F38" s="28" t="str">
        <f aca="true">IF(OR(B38="",E38=""),"",E38-TODAY())</f>
        <v/>
      </c>
      <c r="G38" s="29" t="str">
        <f aca="true">IF(B38="","",IF(E38="","Date TBC",IF(E38&lt;TODAY(),"Departed",IF(E38-TODAY()&lt;=14,"Due ≤ 14 days",IF(E38-TODAY()&lt;=30,"Due ≤ 30 days","Upcoming")))))</f>
        <v/>
      </c>
      <c r="H38" s="30" t="str">
        <f aca="false">IF(OR(B38="",D38=""),"",IF(D38="New position","New position",IF(COUNTIF('BoM Sheet'!$B$9:$B$108,"*"&amp;D38)=0,"Not on BoM list",IF(_xlfn.MAXIFS('BoM Sheet'!$E$9:$E$108,'BoM Sheet'!$B$9:$B$108,"*"&amp;D38)=0,"Date TBC",_xlfn.MAXIFS('BoM Sheet'!$E$9:$E$108,'BoM Sheet'!$B$9:$B$108,"*"&amp;D38)))))</f>
        <v/>
      </c>
      <c r="I38" s="28" t="str">
        <f aca="false">IF(AND(ISNUMBER(E38),ISNUMBER(H38)),E38-H38,"")</f>
        <v/>
      </c>
      <c r="J38" s="25"/>
    </row>
    <row r="39" customFormat="false" ht="19.5" hidden="false" customHeight="true" outlineLevel="0" collapsed="false">
      <c r="A39" s="15" t="str">
        <f aca="false">IF(B39="","",COUNTA($B$9:B39))</f>
        <v/>
      </c>
      <c r="B39" s="16"/>
      <c r="C39" s="17"/>
      <c r="D39" s="18"/>
      <c r="E39" s="19"/>
      <c r="F39" s="20" t="str">
        <f aca="true">IF(OR(B39="",E39=""),"",E39-TODAY())</f>
        <v/>
      </c>
      <c r="G39" s="21" t="str">
        <f aca="true">IF(B39="","",IF(E39="","Date TBC",IF(E39&lt;TODAY(),"Departed",IF(E39-TODAY()&lt;=14,"Due ≤ 14 days",IF(E39-TODAY()&lt;=30,"Due ≤ 30 days","Upcoming")))))</f>
        <v/>
      </c>
      <c r="H39" s="22" t="str">
        <f aca="false">IF(OR(B39="",D39=""),"",IF(D39="New position","New position",IF(COUNTIF('BoM Sheet'!$B$9:$B$108,"*"&amp;D39)=0,"Not on BoM list",IF(_xlfn.MAXIFS('BoM Sheet'!$E$9:$E$108,'BoM Sheet'!$B$9:$B$108,"*"&amp;D39)=0,"Date TBC",_xlfn.MAXIFS('BoM Sheet'!$E$9:$E$108,'BoM Sheet'!$B$9:$B$108,"*"&amp;D39)))))</f>
        <v/>
      </c>
      <c r="I39" s="20" t="str">
        <f aca="false">IF(AND(ISNUMBER(E39),ISNUMBER(H39)),E39-H39,"")</f>
        <v/>
      </c>
      <c r="J39" s="17"/>
    </row>
    <row r="40" customFormat="false" ht="19.5" hidden="false" customHeight="true" outlineLevel="0" collapsed="false">
      <c r="A40" s="23" t="str">
        <f aca="false">IF(B40="","",COUNTA($B$9:B40))</f>
        <v/>
      </c>
      <c r="B40" s="24"/>
      <c r="C40" s="25"/>
      <c r="D40" s="26"/>
      <c r="E40" s="27"/>
      <c r="F40" s="28" t="str">
        <f aca="true">IF(OR(B40="",E40=""),"",E40-TODAY())</f>
        <v/>
      </c>
      <c r="G40" s="29" t="str">
        <f aca="true">IF(B40="","",IF(E40="","Date TBC",IF(E40&lt;TODAY(),"Departed",IF(E40-TODAY()&lt;=14,"Due ≤ 14 days",IF(E40-TODAY()&lt;=30,"Due ≤ 30 days","Upcoming")))))</f>
        <v/>
      </c>
      <c r="H40" s="30" t="str">
        <f aca="false">IF(OR(B40="",D40=""),"",IF(D40="New position","New position",IF(COUNTIF('BoM Sheet'!$B$9:$B$108,"*"&amp;D40)=0,"Not on BoM list",IF(_xlfn.MAXIFS('BoM Sheet'!$E$9:$E$108,'BoM Sheet'!$B$9:$B$108,"*"&amp;D40)=0,"Date TBC",_xlfn.MAXIFS('BoM Sheet'!$E$9:$E$108,'BoM Sheet'!$B$9:$B$108,"*"&amp;D40)))))</f>
        <v/>
      </c>
      <c r="I40" s="28" t="str">
        <f aca="false">IF(AND(ISNUMBER(E40),ISNUMBER(H40)),E40-H40,"")</f>
        <v/>
      </c>
      <c r="J40" s="25"/>
    </row>
    <row r="41" customFormat="false" ht="19.5" hidden="false" customHeight="true" outlineLevel="0" collapsed="false">
      <c r="A41" s="15" t="str">
        <f aca="false">IF(B41="","",COUNTA($B$9:B41))</f>
        <v/>
      </c>
      <c r="B41" s="16"/>
      <c r="C41" s="17"/>
      <c r="D41" s="18"/>
      <c r="E41" s="19"/>
      <c r="F41" s="20" t="str">
        <f aca="true">IF(OR(B41="",E41=""),"",E41-TODAY())</f>
        <v/>
      </c>
      <c r="G41" s="21" t="str">
        <f aca="true">IF(B41="","",IF(E41="","Date TBC",IF(E41&lt;TODAY(),"Departed",IF(E41-TODAY()&lt;=14,"Due ≤ 14 days",IF(E41-TODAY()&lt;=30,"Due ≤ 30 days","Upcoming")))))</f>
        <v/>
      </c>
      <c r="H41" s="22" t="str">
        <f aca="false">IF(OR(B41="",D41=""),"",IF(D41="New position","New position",IF(COUNTIF('BoM Sheet'!$B$9:$B$108,"*"&amp;D41)=0,"Not on BoM list",IF(_xlfn.MAXIFS('BoM Sheet'!$E$9:$E$108,'BoM Sheet'!$B$9:$B$108,"*"&amp;D41)=0,"Date TBC",_xlfn.MAXIFS('BoM Sheet'!$E$9:$E$108,'BoM Sheet'!$B$9:$B$108,"*"&amp;D41)))))</f>
        <v/>
      </c>
      <c r="I41" s="20" t="str">
        <f aca="false">IF(AND(ISNUMBER(E41),ISNUMBER(H41)),E41-H41,"")</f>
        <v/>
      </c>
      <c r="J41" s="17"/>
    </row>
    <row r="42" customFormat="false" ht="19.5" hidden="false" customHeight="true" outlineLevel="0" collapsed="false">
      <c r="A42" s="23" t="str">
        <f aca="false">IF(B42="","",COUNTA($B$9:B42))</f>
        <v/>
      </c>
      <c r="B42" s="24"/>
      <c r="C42" s="25"/>
      <c r="D42" s="26"/>
      <c r="E42" s="27"/>
      <c r="F42" s="28" t="str">
        <f aca="true">IF(OR(B42="",E42=""),"",E42-TODAY())</f>
        <v/>
      </c>
      <c r="G42" s="29" t="str">
        <f aca="true">IF(B42="","",IF(E42="","Date TBC",IF(E42&lt;TODAY(),"Departed",IF(E42-TODAY()&lt;=14,"Due ≤ 14 days",IF(E42-TODAY()&lt;=30,"Due ≤ 30 days","Upcoming")))))</f>
        <v/>
      </c>
      <c r="H42" s="30" t="str">
        <f aca="false">IF(OR(B42="",D42=""),"",IF(D42="New position","New position",IF(COUNTIF('BoM Sheet'!$B$9:$B$108,"*"&amp;D42)=0,"Not on BoM list",IF(_xlfn.MAXIFS('BoM Sheet'!$E$9:$E$108,'BoM Sheet'!$B$9:$B$108,"*"&amp;D42)=0,"Date TBC",_xlfn.MAXIFS('BoM Sheet'!$E$9:$E$108,'BoM Sheet'!$B$9:$B$108,"*"&amp;D42)))))</f>
        <v/>
      </c>
      <c r="I42" s="28" t="str">
        <f aca="false">IF(AND(ISNUMBER(E42),ISNUMBER(H42)),E42-H42,"")</f>
        <v/>
      </c>
      <c r="J42" s="25"/>
    </row>
    <row r="43" customFormat="false" ht="19.5" hidden="false" customHeight="true" outlineLevel="0" collapsed="false">
      <c r="A43" s="15" t="str">
        <f aca="false">IF(B43="","",COUNTA($B$9:B43))</f>
        <v/>
      </c>
      <c r="B43" s="16"/>
      <c r="C43" s="17"/>
      <c r="D43" s="18"/>
      <c r="E43" s="19"/>
      <c r="F43" s="20" t="str">
        <f aca="true">IF(OR(B43="",E43=""),"",E43-TODAY())</f>
        <v/>
      </c>
      <c r="G43" s="21" t="str">
        <f aca="true">IF(B43="","",IF(E43="","Date TBC",IF(E43&lt;TODAY(),"Departed",IF(E43-TODAY()&lt;=14,"Due ≤ 14 days",IF(E43-TODAY()&lt;=30,"Due ≤ 30 days","Upcoming")))))</f>
        <v/>
      </c>
      <c r="H43" s="22" t="str">
        <f aca="false">IF(OR(B43="",D43=""),"",IF(D43="New position","New position",IF(COUNTIF('BoM Sheet'!$B$9:$B$108,"*"&amp;D43)=0,"Not on BoM list",IF(_xlfn.MAXIFS('BoM Sheet'!$E$9:$E$108,'BoM Sheet'!$B$9:$B$108,"*"&amp;D43)=0,"Date TBC",_xlfn.MAXIFS('BoM Sheet'!$E$9:$E$108,'BoM Sheet'!$B$9:$B$108,"*"&amp;D43)))))</f>
        <v/>
      </c>
      <c r="I43" s="20" t="str">
        <f aca="false">IF(AND(ISNUMBER(E43),ISNUMBER(H43)),E43-H43,"")</f>
        <v/>
      </c>
      <c r="J43" s="17"/>
    </row>
    <row r="44" customFormat="false" ht="19.5" hidden="false" customHeight="true" outlineLevel="0" collapsed="false">
      <c r="A44" s="23" t="str">
        <f aca="false">IF(B44="","",COUNTA($B$9:B44))</f>
        <v/>
      </c>
      <c r="B44" s="24"/>
      <c r="C44" s="25"/>
      <c r="D44" s="26"/>
      <c r="E44" s="27"/>
      <c r="F44" s="28" t="str">
        <f aca="true">IF(OR(B44="",E44=""),"",E44-TODAY())</f>
        <v/>
      </c>
      <c r="G44" s="29" t="str">
        <f aca="true">IF(B44="","",IF(E44="","Date TBC",IF(E44&lt;TODAY(),"Departed",IF(E44-TODAY()&lt;=14,"Due ≤ 14 days",IF(E44-TODAY()&lt;=30,"Due ≤ 30 days","Upcoming")))))</f>
        <v/>
      </c>
      <c r="H44" s="30" t="str">
        <f aca="false">IF(OR(B44="",D44=""),"",IF(D44="New position","New position",IF(COUNTIF('BoM Sheet'!$B$9:$B$108,"*"&amp;D44)=0,"Not on BoM list",IF(_xlfn.MAXIFS('BoM Sheet'!$E$9:$E$108,'BoM Sheet'!$B$9:$B$108,"*"&amp;D44)=0,"Date TBC",_xlfn.MAXIFS('BoM Sheet'!$E$9:$E$108,'BoM Sheet'!$B$9:$B$108,"*"&amp;D44)))))</f>
        <v/>
      </c>
      <c r="I44" s="28" t="str">
        <f aca="false">IF(AND(ISNUMBER(E44),ISNUMBER(H44)),E44-H44,"")</f>
        <v/>
      </c>
      <c r="J44" s="25"/>
    </row>
    <row r="45" customFormat="false" ht="19.5" hidden="false" customHeight="true" outlineLevel="0" collapsed="false">
      <c r="A45" s="15" t="str">
        <f aca="false">IF(B45="","",COUNTA($B$9:B45))</f>
        <v/>
      </c>
      <c r="B45" s="16"/>
      <c r="C45" s="17"/>
      <c r="D45" s="18"/>
      <c r="E45" s="19"/>
      <c r="F45" s="20" t="str">
        <f aca="true">IF(OR(B45="",E45=""),"",E45-TODAY())</f>
        <v/>
      </c>
      <c r="G45" s="21" t="str">
        <f aca="true">IF(B45="","",IF(E45="","Date TBC",IF(E45&lt;TODAY(),"Departed",IF(E45-TODAY()&lt;=14,"Due ≤ 14 days",IF(E45-TODAY()&lt;=30,"Due ≤ 30 days","Upcoming")))))</f>
        <v/>
      </c>
      <c r="H45" s="22" t="str">
        <f aca="false">IF(OR(B45="",D45=""),"",IF(D45="New position","New position",IF(COUNTIF('BoM Sheet'!$B$9:$B$108,"*"&amp;D45)=0,"Not on BoM list",IF(_xlfn.MAXIFS('BoM Sheet'!$E$9:$E$108,'BoM Sheet'!$B$9:$B$108,"*"&amp;D45)=0,"Date TBC",_xlfn.MAXIFS('BoM Sheet'!$E$9:$E$108,'BoM Sheet'!$B$9:$B$108,"*"&amp;D45)))))</f>
        <v/>
      </c>
      <c r="I45" s="20" t="str">
        <f aca="false">IF(AND(ISNUMBER(E45),ISNUMBER(H45)),E45-H45,"")</f>
        <v/>
      </c>
      <c r="J45" s="17"/>
    </row>
    <row r="46" customFormat="false" ht="19.5" hidden="false" customHeight="true" outlineLevel="0" collapsed="false">
      <c r="A46" s="23" t="str">
        <f aca="false">IF(B46="","",COUNTA($B$9:B46))</f>
        <v/>
      </c>
      <c r="B46" s="24"/>
      <c r="C46" s="25"/>
      <c r="D46" s="26"/>
      <c r="E46" s="27"/>
      <c r="F46" s="28" t="str">
        <f aca="true">IF(OR(B46="",E46=""),"",E46-TODAY())</f>
        <v/>
      </c>
      <c r="G46" s="29" t="str">
        <f aca="true">IF(B46="","",IF(E46="","Date TBC",IF(E46&lt;TODAY(),"Departed",IF(E46-TODAY()&lt;=14,"Due ≤ 14 days",IF(E46-TODAY()&lt;=30,"Due ≤ 30 days","Upcoming")))))</f>
        <v/>
      </c>
      <c r="H46" s="30" t="str">
        <f aca="false">IF(OR(B46="",D46=""),"",IF(D46="New position","New position",IF(COUNTIF('BoM Sheet'!$B$9:$B$108,"*"&amp;D46)=0,"Not on BoM list",IF(_xlfn.MAXIFS('BoM Sheet'!$E$9:$E$108,'BoM Sheet'!$B$9:$B$108,"*"&amp;D46)=0,"Date TBC",_xlfn.MAXIFS('BoM Sheet'!$E$9:$E$108,'BoM Sheet'!$B$9:$B$108,"*"&amp;D46)))))</f>
        <v/>
      </c>
      <c r="I46" s="28" t="str">
        <f aca="false">IF(AND(ISNUMBER(E46),ISNUMBER(H46)),E46-H46,"")</f>
        <v/>
      </c>
      <c r="J46" s="25"/>
    </row>
    <row r="47" customFormat="false" ht="19.5" hidden="false" customHeight="true" outlineLevel="0" collapsed="false">
      <c r="A47" s="15" t="str">
        <f aca="false">IF(B47="","",COUNTA($B$9:B47))</f>
        <v/>
      </c>
      <c r="B47" s="16"/>
      <c r="C47" s="17"/>
      <c r="D47" s="18"/>
      <c r="E47" s="19"/>
      <c r="F47" s="20" t="str">
        <f aca="true">IF(OR(B47="",E47=""),"",E47-TODAY())</f>
        <v/>
      </c>
      <c r="G47" s="21" t="str">
        <f aca="true">IF(B47="","",IF(E47="","Date TBC",IF(E47&lt;TODAY(),"Departed",IF(E47-TODAY()&lt;=14,"Due ≤ 14 days",IF(E47-TODAY()&lt;=30,"Due ≤ 30 days","Upcoming")))))</f>
        <v/>
      </c>
      <c r="H47" s="22" t="str">
        <f aca="false">IF(OR(B47="",D47=""),"",IF(D47="New position","New position",IF(COUNTIF('BoM Sheet'!$B$9:$B$108,"*"&amp;D47)=0,"Not on BoM list",IF(_xlfn.MAXIFS('BoM Sheet'!$E$9:$E$108,'BoM Sheet'!$B$9:$B$108,"*"&amp;D47)=0,"Date TBC",_xlfn.MAXIFS('BoM Sheet'!$E$9:$E$108,'BoM Sheet'!$B$9:$B$108,"*"&amp;D47)))))</f>
        <v/>
      </c>
      <c r="I47" s="20" t="str">
        <f aca="false">IF(AND(ISNUMBER(E47),ISNUMBER(H47)),E47-H47,"")</f>
        <v/>
      </c>
      <c r="J47" s="17"/>
    </row>
    <row r="48" customFormat="false" ht="19.5" hidden="false" customHeight="true" outlineLevel="0" collapsed="false">
      <c r="A48" s="23" t="str">
        <f aca="false">IF(B48="","",COUNTA($B$9:B48))</f>
        <v/>
      </c>
      <c r="B48" s="24"/>
      <c r="C48" s="25"/>
      <c r="D48" s="26"/>
      <c r="E48" s="27"/>
      <c r="F48" s="28" t="str">
        <f aca="true">IF(OR(B48="",E48=""),"",E48-TODAY())</f>
        <v/>
      </c>
      <c r="G48" s="29" t="str">
        <f aca="true">IF(B48="","",IF(E48="","Date TBC",IF(E48&lt;TODAY(),"Departed",IF(E48-TODAY()&lt;=14,"Due ≤ 14 days",IF(E48-TODAY()&lt;=30,"Due ≤ 30 days","Upcoming")))))</f>
        <v/>
      </c>
      <c r="H48" s="30" t="str">
        <f aca="false">IF(OR(B48="",D48=""),"",IF(D48="New position","New position",IF(COUNTIF('BoM Sheet'!$B$9:$B$108,"*"&amp;D48)=0,"Not on BoM list",IF(_xlfn.MAXIFS('BoM Sheet'!$E$9:$E$108,'BoM Sheet'!$B$9:$B$108,"*"&amp;D48)=0,"Date TBC",_xlfn.MAXIFS('BoM Sheet'!$E$9:$E$108,'BoM Sheet'!$B$9:$B$108,"*"&amp;D48)))))</f>
        <v/>
      </c>
      <c r="I48" s="28" t="str">
        <f aca="false">IF(AND(ISNUMBER(E48),ISNUMBER(H48)),E48-H48,"")</f>
        <v/>
      </c>
      <c r="J48" s="25"/>
    </row>
    <row r="49" customFormat="false" ht="19.5" hidden="false" customHeight="true" outlineLevel="0" collapsed="false">
      <c r="A49" s="15" t="str">
        <f aca="false">IF(B49="","",COUNTA($B$9:B49))</f>
        <v/>
      </c>
      <c r="B49" s="16"/>
      <c r="C49" s="17"/>
      <c r="D49" s="18"/>
      <c r="E49" s="19"/>
      <c r="F49" s="20" t="str">
        <f aca="true">IF(OR(B49="",E49=""),"",E49-TODAY())</f>
        <v/>
      </c>
      <c r="G49" s="21" t="str">
        <f aca="true">IF(B49="","",IF(E49="","Date TBC",IF(E49&lt;TODAY(),"Departed",IF(E49-TODAY()&lt;=14,"Due ≤ 14 days",IF(E49-TODAY()&lt;=30,"Due ≤ 30 days","Upcoming")))))</f>
        <v/>
      </c>
      <c r="H49" s="22" t="str">
        <f aca="false">IF(OR(B49="",D49=""),"",IF(D49="New position","New position",IF(COUNTIF('BoM Sheet'!$B$9:$B$108,"*"&amp;D49)=0,"Not on BoM list",IF(_xlfn.MAXIFS('BoM Sheet'!$E$9:$E$108,'BoM Sheet'!$B$9:$B$108,"*"&amp;D49)=0,"Date TBC",_xlfn.MAXIFS('BoM Sheet'!$E$9:$E$108,'BoM Sheet'!$B$9:$B$108,"*"&amp;D49)))))</f>
        <v/>
      </c>
      <c r="I49" s="20" t="str">
        <f aca="false">IF(AND(ISNUMBER(E49),ISNUMBER(H49)),E49-H49,"")</f>
        <v/>
      </c>
      <c r="J49" s="17"/>
    </row>
    <row r="50" customFormat="false" ht="19.5" hidden="false" customHeight="true" outlineLevel="0" collapsed="false">
      <c r="A50" s="23" t="str">
        <f aca="false">IF(B50="","",COUNTA($B$9:B50))</f>
        <v/>
      </c>
      <c r="B50" s="24"/>
      <c r="C50" s="25"/>
      <c r="D50" s="26"/>
      <c r="E50" s="27"/>
      <c r="F50" s="28" t="str">
        <f aca="true">IF(OR(B50="",E50=""),"",E50-TODAY())</f>
        <v/>
      </c>
      <c r="G50" s="29" t="str">
        <f aca="true">IF(B50="","",IF(E50="","Date TBC",IF(E50&lt;TODAY(),"Departed",IF(E50-TODAY()&lt;=14,"Due ≤ 14 days",IF(E50-TODAY()&lt;=30,"Due ≤ 30 days","Upcoming")))))</f>
        <v/>
      </c>
      <c r="H50" s="30" t="str">
        <f aca="false">IF(OR(B50="",D50=""),"",IF(D50="New position","New position",IF(COUNTIF('BoM Sheet'!$B$9:$B$108,"*"&amp;D50)=0,"Not on BoM list",IF(_xlfn.MAXIFS('BoM Sheet'!$E$9:$E$108,'BoM Sheet'!$B$9:$B$108,"*"&amp;D50)=0,"Date TBC",_xlfn.MAXIFS('BoM Sheet'!$E$9:$E$108,'BoM Sheet'!$B$9:$B$108,"*"&amp;D50)))))</f>
        <v/>
      </c>
      <c r="I50" s="28" t="str">
        <f aca="false">IF(AND(ISNUMBER(E50),ISNUMBER(H50)),E50-H50,"")</f>
        <v/>
      </c>
      <c r="J50" s="25"/>
    </row>
    <row r="51" customFormat="false" ht="19.5" hidden="false" customHeight="true" outlineLevel="0" collapsed="false">
      <c r="A51" s="15" t="str">
        <f aca="false">IF(B51="","",COUNTA($B$9:B51))</f>
        <v/>
      </c>
      <c r="B51" s="16"/>
      <c r="C51" s="17"/>
      <c r="D51" s="18"/>
      <c r="E51" s="19"/>
      <c r="F51" s="20" t="str">
        <f aca="true">IF(OR(B51="",E51=""),"",E51-TODAY())</f>
        <v/>
      </c>
      <c r="G51" s="21" t="str">
        <f aca="true">IF(B51="","",IF(E51="","Date TBC",IF(E51&lt;TODAY(),"Departed",IF(E51-TODAY()&lt;=14,"Due ≤ 14 days",IF(E51-TODAY()&lt;=30,"Due ≤ 30 days","Upcoming")))))</f>
        <v/>
      </c>
      <c r="H51" s="22" t="str">
        <f aca="false">IF(OR(B51="",D51=""),"",IF(D51="New position","New position",IF(COUNTIF('BoM Sheet'!$B$9:$B$108,"*"&amp;D51)=0,"Not on BoM list",IF(_xlfn.MAXIFS('BoM Sheet'!$E$9:$E$108,'BoM Sheet'!$B$9:$B$108,"*"&amp;D51)=0,"Date TBC",_xlfn.MAXIFS('BoM Sheet'!$E$9:$E$108,'BoM Sheet'!$B$9:$B$108,"*"&amp;D51)))))</f>
        <v/>
      </c>
      <c r="I51" s="20" t="str">
        <f aca="false">IF(AND(ISNUMBER(E51),ISNUMBER(H51)),E51-H51,"")</f>
        <v/>
      </c>
      <c r="J51" s="17"/>
    </row>
    <row r="52" customFormat="false" ht="19.5" hidden="false" customHeight="true" outlineLevel="0" collapsed="false">
      <c r="A52" s="23" t="str">
        <f aca="false">IF(B52="","",COUNTA($B$9:B52))</f>
        <v/>
      </c>
      <c r="B52" s="24"/>
      <c r="C52" s="25"/>
      <c r="D52" s="26"/>
      <c r="E52" s="27"/>
      <c r="F52" s="28" t="str">
        <f aca="true">IF(OR(B52="",E52=""),"",E52-TODAY())</f>
        <v/>
      </c>
      <c r="G52" s="29" t="str">
        <f aca="true">IF(B52="","",IF(E52="","Date TBC",IF(E52&lt;TODAY(),"Departed",IF(E52-TODAY()&lt;=14,"Due ≤ 14 days",IF(E52-TODAY()&lt;=30,"Due ≤ 30 days","Upcoming")))))</f>
        <v/>
      </c>
      <c r="H52" s="30" t="str">
        <f aca="false">IF(OR(B52="",D52=""),"",IF(D52="New position","New position",IF(COUNTIF('BoM Sheet'!$B$9:$B$108,"*"&amp;D52)=0,"Not on BoM list",IF(_xlfn.MAXIFS('BoM Sheet'!$E$9:$E$108,'BoM Sheet'!$B$9:$B$108,"*"&amp;D52)=0,"Date TBC",_xlfn.MAXIFS('BoM Sheet'!$E$9:$E$108,'BoM Sheet'!$B$9:$B$108,"*"&amp;D52)))))</f>
        <v/>
      </c>
      <c r="I52" s="28" t="str">
        <f aca="false">IF(AND(ISNUMBER(E52),ISNUMBER(H52)),E52-H52,"")</f>
        <v/>
      </c>
      <c r="J52" s="25"/>
    </row>
    <row r="53" customFormat="false" ht="19.5" hidden="false" customHeight="true" outlineLevel="0" collapsed="false">
      <c r="A53" s="15" t="str">
        <f aca="false">IF(B53="","",COUNTA($B$9:B53))</f>
        <v/>
      </c>
      <c r="B53" s="16"/>
      <c r="C53" s="17"/>
      <c r="D53" s="18"/>
      <c r="E53" s="19"/>
      <c r="F53" s="20" t="str">
        <f aca="true">IF(OR(B53="",E53=""),"",E53-TODAY())</f>
        <v/>
      </c>
      <c r="G53" s="21" t="str">
        <f aca="true">IF(B53="","",IF(E53="","Date TBC",IF(E53&lt;TODAY(),"Departed",IF(E53-TODAY()&lt;=14,"Due ≤ 14 days",IF(E53-TODAY()&lt;=30,"Due ≤ 30 days","Upcoming")))))</f>
        <v/>
      </c>
      <c r="H53" s="22" t="str">
        <f aca="false">IF(OR(B53="",D53=""),"",IF(D53="New position","New position",IF(COUNTIF('BoM Sheet'!$B$9:$B$108,"*"&amp;D53)=0,"Not on BoM list",IF(_xlfn.MAXIFS('BoM Sheet'!$E$9:$E$108,'BoM Sheet'!$B$9:$B$108,"*"&amp;D53)=0,"Date TBC",_xlfn.MAXIFS('BoM Sheet'!$E$9:$E$108,'BoM Sheet'!$B$9:$B$108,"*"&amp;D53)))))</f>
        <v/>
      </c>
      <c r="I53" s="20" t="str">
        <f aca="false">IF(AND(ISNUMBER(E53),ISNUMBER(H53)),E53-H53,"")</f>
        <v/>
      </c>
      <c r="J53" s="17"/>
    </row>
    <row r="54" customFormat="false" ht="19.5" hidden="false" customHeight="true" outlineLevel="0" collapsed="false">
      <c r="A54" s="23" t="str">
        <f aca="false">IF(B54="","",COUNTA($B$9:B54))</f>
        <v/>
      </c>
      <c r="B54" s="24"/>
      <c r="C54" s="25"/>
      <c r="D54" s="26"/>
      <c r="E54" s="27"/>
      <c r="F54" s="28" t="str">
        <f aca="true">IF(OR(B54="",E54=""),"",E54-TODAY())</f>
        <v/>
      </c>
      <c r="G54" s="29" t="str">
        <f aca="true">IF(B54="","",IF(E54="","Date TBC",IF(E54&lt;TODAY(),"Departed",IF(E54-TODAY()&lt;=14,"Due ≤ 14 days",IF(E54-TODAY()&lt;=30,"Due ≤ 30 days","Upcoming")))))</f>
        <v/>
      </c>
      <c r="H54" s="30" t="str">
        <f aca="false">IF(OR(B54="",D54=""),"",IF(D54="New position","New position",IF(COUNTIF('BoM Sheet'!$B$9:$B$108,"*"&amp;D54)=0,"Not on BoM list",IF(_xlfn.MAXIFS('BoM Sheet'!$E$9:$E$108,'BoM Sheet'!$B$9:$B$108,"*"&amp;D54)=0,"Date TBC",_xlfn.MAXIFS('BoM Sheet'!$E$9:$E$108,'BoM Sheet'!$B$9:$B$108,"*"&amp;D54)))))</f>
        <v/>
      </c>
      <c r="I54" s="28" t="str">
        <f aca="false">IF(AND(ISNUMBER(E54),ISNUMBER(H54)),E54-H54,"")</f>
        <v/>
      </c>
      <c r="J54" s="25"/>
    </row>
    <row r="55" customFormat="false" ht="19.5" hidden="false" customHeight="true" outlineLevel="0" collapsed="false">
      <c r="A55" s="15" t="str">
        <f aca="false">IF(B55="","",COUNTA($B$9:B55))</f>
        <v/>
      </c>
      <c r="B55" s="16"/>
      <c r="C55" s="17"/>
      <c r="D55" s="18"/>
      <c r="E55" s="19"/>
      <c r="F55" s="20" t="str">
        <f aca="true">IF(OR(B55="",E55=""),"",E55-TODAY())</f>
        <v/>
      </c>
      <c r="G55" s="21" t="str">
        <f aca="true">IF(B55="","",IF(E55="","Date TBC",IF(E55&lt;TODAY(),"Departed",IF(E55-TODAY()&lt;=14,"Due ≤ 14 days",IF(E55-TODAY()&lt;=30,"Due ≤ 30 days","Upcoming")))))</f>
        <v/>
      </c>
      <c r="H55" s="22" t="str">
        <f aca="false">IF(OR(B55="",D55=""),"",IF(D55="New position","New position",IF(COUNTIF('BoM Sheet'!$B$9:$B$108,"*"&amp;D55)=0,"Not on BoM list",IF(_xlfn.MAXIFS('BoM Sheet'!$E$9:$E$108,'BoM Sheet'!$B$9:$B$108,"*"&amp;D55)=0,"Date TBC",_xlfn.MAXIFS('BoM Sheet'!$E$9:$E$108,'BoM Sheet'!$B$9:$B$108,"*"&amp;D55)))))</f>
        <v/>
      </c>
      <c r="I55" s="20" t="str">
        <f aca="false">IF(AND(ISNUMBER(E55),ISNUMBER(H55)),E55-H55,"")</f>
        <v/>
      </c>
      <c r="J55" s="17"/>
    </row>
    <row r="56" customFormat="false" ht="19.5" hidden="false" customHeight="true" outlineLevel="0" collapsed="false">
      <c r="A56" s="23" t="str">
        <f aca="false">IF(B56="","",COUNTA($B$9:B56))</f>
        <v/>
      </c>
      <c r="B56" s="24"/>
      <c r="C56" s="25"/>
      <c r="D56" s="26"/>
      <c r="E56" s="27"/>
      <c r="F56" s="28" t="str">
        <f aca="true">IF(OR(B56="",E56=""),"",E56-TODAY())</f>
        <v/>
      </c>
      <c r="G56" s="29" t="str">
        <f aca="true">IF(B56="","",IF(E56="","Date TBC",IF(E56&lt;TODAY(),"Departed",IF(E56-TODAY()&lt;=14,"Due ≤ 14 days",IF(E56-TODAY()&lt;=30,"Due ≤ 30 days","Upcoming")))))</f>
        <v/>
      </c>
      <c r="H56" s="30" t="str">
        <f aca="false">IF(OR(B56="",D56=""),"",IF(D56="New position","New position",IF(COUNTIF('BoM Sheet'!$B$9:$B$108,"*"&amp;D56)=0,"Not on BoM list",IF(_xlfn.MAXIFS('BoM Sheet'!$E$9:$E$108,'BoM Sheet'!$B$9:$B$108,"*"&amp;D56)=0,"Date TBC",_xlfn.MAXIFS('BoM Sheet'!$E$9:$E$108,'BoM Sheet'!$B$9:$B$108,"*"&amp;D56)))))</f>
        <v/>
      </c>
      <c r="I56" s="28" t="str">
        <f aca="false">IF(AND(ISNUMBER(E56),ISNUMBER(H56)),E56-H56,"")</f>
        <v/>
      </c>
      <c r="J56" s="25"/>
    </row>
    <row r="57" customFormat="false" ht="19.5" hidden="false" customHeight="true" outlineLevel="0" collapsed="false">
      <c r="A57" s="15" t="str">
        <f aca="false">IF(B57="","",COUNTA($B$9:B57))</f>
        <v/>
      </c>
      <c r="B57" s="16"/>
      <c r="C57" s="17"/>
      <c r="D57" s="18"/>
      <c r="E57" s="19"/>
      <c r="F57" s="20" t="str">
        <f aca="true">IF(OR(B57="",E57=""),"",E57-TODAY())</f>
        <v/>
      </c>
      <c r="G57" s="21" t="str">
        <f aca="true">IF(B57="","",IF(E57="","Date TBC",IF(E57&lt;TODAY(),"Departed",IF(E57-TODAY()&lt;=14,"Due ≤ 14 days",IF(E57-TODAY()&lt;=30,"Due ≤ 30 days","Upcoming")))))</f>
        <v/>
      </c>
      <c r="H57" s="22" t="str">
        <f aca="false">IF(OR(B57="",D57=""),"",IF(D57="New position","New position",IF(COUNTIF('BoM Sheet'!$B$9:$B$108,"*"&amp;D57)=0,"Not on BoM list",IF(_xlfn.MAXIFS('BoM Sheet'!$E$9:$E$108,'BoM Sheet'!$B$9:$B$108,"*"&amp;D57)=0,"Date TBC",_xlfn.MAXIFS('BoM Sheet'!$E$9:$E$108,'BoM Sheet'!$B$9:$B$108,"*"&amp;D57)))))</f>
        <v/>
      </c>
      <c r="I57" s="20" t="str">
        <f aca="false">IF(AND(ISNUMBER(E57),ISNUMBER(H57)),E57-H57,"")</f>
        <v/>
      </c>
      <c r="J57" s="17"/>
    </row>
    <row r="58" customFormat="false" ht="19.5" hidden="false" customHeight="true" outlineLevel="0" collapsed="false">
      <c r="A58" s="23" t="str">
        <f aca="false">IF(B58="","",COUNTA($B$9:B58))</f>
        <v/>
      </c>
      <c r="B58" s="24"/>
      <c r="C58" s="25"/>
      <c r="D58" s="26"/>
      <c r="E58" s="27"/>
      <c r="F58" s="28" t="str">
        <f aca="true">IF(OR(B58="",E58=""),"",E58-TODAY())</f>
        <v/>
      </c>
      <c r="G58" s="29" t="str">
        <f aca="true">IF(B58="","",IF(E58="","Date TBC",IF(E58&lt;TODAY(),"Departed",IF(E58-TODAY()&lt;=14,"Due ≤ 14 days",IF(E58-TODAY()&lt;=30,"Due ≤ 30 days","Upcoming")))))</f>
        <v/>
      </c>
      <c r="H58" s="30" t="str">
        <f aca="false">IF(OR(B58="",D58=""),"",IF(D58="New position","New position",IF(COUNTIF('BoM Sheet'!$B$9:$B$108,"*"&amp;D58)=0,"Not on BoM list",IF(_xlfn.MAXIFS('BoM Sheet'!$E$9:$E$108,'BoM Sheet'!$B$9:$B$108,"*"&amp;D58)=0,"Date TBC",_xlfn.MAXIFS('BoM Sheet'!$E$9:$E$108,'BoM Sheet'!$B$9:$B$108,"*"&amp;D58)))))</f>
        <v/>
      </c>
      <c r="I58" s="28" t="str">
        <f aca="false">IF(AND(ISNUMBER(E58),ISNUMBER(H58)),E58-H58,"")</f>
        <v/>
      </c>
      <c r="J58" s="25"/>
    </row>
    <row r="59" customFormat="false" ht="19.5" hidden="false" customHeight="true" outlineLevel="0" collapsed="false">
      <c r="A59" s="15" t="str">
        <f aca="false">IF(B59="","",COUNTA($B$9:B59))</f>
        <v/>
      </c>
      <c r="B59" s="16"/>
      <c r="C59" s="17"/>
      <c r="D59" s="18"/>
      <c r="E59" s="19"/>
      <c r="F59" s="20" t="str">
        <f aca="true">IF(OR(B59="",E59=""),"",E59-TODAY())</f>
        <v/>
      </c>
      <c r="G59" s="21" t="str">
        <f aca="true">IF(B59="","",IF(E59="","Date TBC",IF(E59&lt;TODAY(),"Departed",IF(E59-TODAY()&lt;=14,"Due ≤ 14 days",IF(E59-TODAY()&lt;=30,"Due ≤ 30 days","Upcoming")))))</f>
        <v/>
      </c>
      <c r="H59" s="22" t="str">
        <f aca="false">IF(OR(B59="",D59=""),"",IF(D59="New position","New position",IF(COUNTIF('BoM Sheet'!$B$9:$B$108,"*"&amp;D59)=0,"Not on BoM list",IF(_xlfn.MAXIFS('BoM Sheet'!$E$9:$E$108,'BoM Sheet'!$B$9:$B$108,"*"&amp;D59)=0,"Date TBC",_xlfn.MAXIFS('BoM Sheet'!$E$9:$E$108,'BoM Sheet'!$B$9:$B$108,"*"&amp;D59)))))</f>
        <v/>
      </c>
      <c r="I59" s="20" t="str">
        <f aca="false">IF(AND(ISNUMBER(E59),ISNUMBER(H59)),E59-H59,"")</f>
        <v/>
      </c>
      <c r="J59" s="17"/>
    </row>
    <row r="60" customFormat="false" ht="19.5" hidden="false" customHeight="true" outlineLevel="0" collapsed="false">
      <c r="A60" s="23" t="str">
        <f aca="false">IF(B60="","",COUNTA($B$9:B60))</f>
        <v/>
      </c>
      <c r="B60" s="24"/>
      <c r="C60" s="25"/>
      <c r="D60" s="26"/>
      <c r="E60" s="27"/>
      <c r="F60" s="28" t="str">
        <f aca="true">IF(OR(B60="",E60=""),"",E60-TODAY())</f>
        <v/>
      </c>
      <c r="G60" s="29" t="str">
        <f aca="true">IF(B60="","",IF(E60="","Date TBC",IF(E60&lt;TODAY(),"Departed",IF(E60-TODAY()&lt;=14,"Due ≤ 14 days",IF(E60-TODAY()&lt;=30,"Due ≤ 30 days","Upcoming")))))</f>
        <v/>
      </c>
      <c r="H60" s="30" t="str">
        <f aca="false">IF(OR(B60="",D60=""),"",IF(D60="New position","New position",IF(COUNTIF('BoM Sheet'!$B$9:$B$108,"*"&amp;D60)=0,"Not on BoM list",IF(_xlfn.MAXIFS('BoM Sheet'!$E$9:$E$108,'BoM Sheet'!$B$9:$B$108,"*"&amp;D60)=0,"Date TBC",_xlfn.MAXIFS('BoM Sheet'!$E$9:$E$108,'BoM Sheet'!$B$9:$B$108,"*"&amp;D60)))))</f>
        <v/>
      </c>
      <c r="I60" s="28" t="str">
        <f aca="false">IF(AND(ISNUMBER(E60),ISNUMBER(H60)),E60-H60,"")</f>
        <v/>
      </c>
      <c r="J60" s="25"/>
    </row>
    <row r="61" customFormat="false" ht="19.5" hidden="false" customHeight="true" outlineLevel="0" collapsed="false">
      <c r="A61" s="15" t="str">
        <f aca="false">IF(B61="","",COUNTA($B$9:B61))</f>
        <v/>
      </c>
      <c r="B61" s="16"/>
      <c r="C61" s="17"/>
      <c r="D61" s="18"/>
      <c r="E61" s="19"/>
      <c r="F61" s="20" t="str">
        <f aca="true">IF(OR(B61="",E61=""),"",E61-TODAY())</f>
        <v/>
      </c>
      <c r="G61" s="21" t="str">
        <f aca="true">IF(B61="","",IF(E61="","Date TBC",IF(E61&lt;TODAY(),"Departed",IF(E61-TODAY()&lt;=14,"Due ≤ 14 days",IF(E61-TODAY()&lt;=30,"Due ≤ 30 days","Upcoming")))))</f>
        <v/>
      </c>
      <c r="H61" s="22" t="str">
        <f aca="false">IF(OR(B61="",D61=""),"",IF(D61="New position","New position",IF(COUNTIF('BoM Sheet'!$B$9:$B$108,"*"&amp;D61)=0,"Not on BoM list",IF(_xlfn.MAXIFS('BoM Sheet'!$E$9:$E$108,'BoM Sheet'!$B$9:$B$108,"*"&amp;D61)=0,"Date TBC",_xlfn.MAXIFS('BoM Sheet'!$E$9:$E$108,'BoM Sheet'!$B$9:$B$108,"*"&amp;D61)))))</f>
        <v/>
      </c>
      <c r="I61" s="20" t="str">
        <f aca="false">IF(AND(ISNUMBER(E61),ISNUMBER(H61)),E61-H61,"")</f>
        <v/>
      </c>
      <c r="J61" s="17"/>
    </row>
    <row r="62" customFormat="false" ht="19.5" hidden="false" customHeight="true" outlineLevel="0" collapsed="false">
      <c r="A62" s="23" t="str">
        <f aca="false">IF(B62="","",COUNTA($B$9:B62))</f>
        <v/>
      </c>
      <c r="B62" s="24"/>
      <c r="C62" s="25"/>
      <c r="D62" s="26"/>
      <c r="E62" s="27"/>
      <c r="F62" s="28" t="str">
        <f aca="true">IF(OR(B62="",E62=""),"",E62-TODAY())</f>
        <v/>
      </c>
      <c r="G62" s="29" t="str">
        <f aca="true">IF(B62="","",IF(E62="","Date TBC",IF(E62&lt;TODAY(),"Departed",IF(E62-TODAY()&lt;=14,"Due ≤ 14 days",IF(E62-TODAY()&lt;=30,"Due ≤ 30 days","Upcoming")))))</f>
        <v/>
      </c>
      <c r="H62" s="30" t="str">
        <f aca="false">IF(OR(B62="",D62=""),"",IF(D62="New position","New position",IF(COUNTIF('BoM Sheet'!$B$9:$B$108,"*"&amp;D62)=0,"Not on BoM list",IF(_xlfn.MAXIFS('BoM Sheet'!$E$9:$E$108,'BoM Sheet'!$B$9:$B$108,"*"&amp;D62)=0,"Date TBC",_xlfn.MAXIFS('BoM Sheet'!$E$9:$E$108,'BoM Sheet'!$B$9:$B$108,"*"&amp;D62)))))</f>
        <v/>
      </c>
      <c r="I62" s="28" t="str">
        <f aca="false">IF(AND(ISNUMBER(E62),ISNUMBER(H62)),E62-H62,"")</f>
        <v/>
      </c>
      <c r="J62" s="25"/>
    </row>
    <row r="63" customFormat="false" ht="19.5" hidden="false" customHeight="true" outlineLevel="0" collapsed="false">
      <c r="A63" s="15" t="str">
        <f aca="false">IF(B63="","",COUNTA($B$9:B63))</f>
        <v/>
      </c>
      <c r="B63" s="16"/>
      <c r="C63" s="17"/>
      <c r="D63" s="18"/>
      <c r="E63" s="19"/>
      <c r="F63" s="20" t="str">
        <f aca="true">IF(OR(B63="",E63=""),"",E63-TODAY())</f>
        <v/>
      </c>
      <c r="G63" s="21" t="str">
        <f aca="true">IF(B63="","",IF(E63="","Date TBC",IF(E63&lt;TODAY(),"Departed",IF(E63-TODAY()&lt;=14,"Due ≤ 14 days",IF(E63-TODAY()&lt;=30,"Due ≤ 30 days","Upcoming")))))</f>
        <v/>
      </c>
      <c r="H63" s="22" t="str">
        <f aca="false">IF(OR(B63="",D63=""),"",IF(D63="New position","New position",IF(COUNTIF('BoM Sheet'!$B$9:$B$108,"*"&amp;D63)=0,"Not on BoM list",IF(_xlfn.MAXIFS('BoM Sheet'!$E$9:$E$108,'BoM Sheet'!$B$9:$B$108,"*"&amp;D63)=0,"Date TBC",_xlfn.MAXIFS('BoM Sheet'!$E$9:$E$108,'BoM Sheet'!$B$9:$B$108,"*"&amp;D63)))))</f>
        <v/>
      </c>
      <c r="I63" s="20" t="str">
        <f aca="false">IF(AND(ISNUMBER(E63),ISNUMBER(H63)),E63-H63,"")</f>
        <v/>
      </c>
      <c r="J63" s="17"/>
    </row>
    <row r="64" customFormat="false" ht="19.5" hidden="false" customHeight="true" outlineLevel="0" collapsed="false">
      <c r="A64" s="23" t="str">
        <f aca="false">IF(B64="","",COUNTA($B$9:B64))</f>
        <v/>
      </c>
      <c r="B64" s="24"/>
      <c r="C64" s="25"/>
      <c r="D64" s="26"/>
      <c r="E64" s="27"/>
      <c r="F64" s="28" t="str">
        <f aca="true">IF(OR(B64="",E64=""),"",E64-TODAY())</f>
        <v/>
      </c>
      <c r="G64" s="29" t="str">
        <f aca="true">IF(B64="","",IF(E64="","Date TBC",IF(E64&lt;TODAY(),"Departed",IF(E64-TODAY()&lt;=14,"Due ≤ 14 days",IF(E64-TODAY()&lt;=30,"Due ≤ 30 days","Upcoming")))))</f>
        <v/>
      </c>
      <c r="H64" s="30" t="str">
        <f aca="false">IF(OR(B64="",D64=""),"",IF(D64="New position","New position",IF(COUNTIF('BoM Sheet'!$B$9:$B$108,"*"&amp;D64)=0,"Not on BoM list",IF(_xlfn.MAXIFS('BoM Sheet'!$E$9:$E$108,'BoM Sheet'!$B$9:$B$108,"*"&amp;D64)=0,"Date TBC",_xlfn.MAXIFS('BoM Sheet'!$E$9:$E$108,'BoM Sheet'!$B$9:$B$108,"*"&amp;D64)))))</f>
        <v/>
      </c>
      <c r="I64" s="28" t="str">
        <f aca="false">IF(AND(ISNUMBER(E64),ISNUMBER(H64)),E64-H64,"")</f>
        <v/>
      </c>
      <c r="J64" s="25"/>
    </row>
    <row r="65" customFormat="false" ht="19.5" hidden="false" customHeight="true" outlineLevel="0" collapsed="false">
      <c r="A65" s="15" t="str">
        <f aca="false">IF(B65="","",COUNTA($B$9:B65))</f>
        <v/>
      </c>
      <c r="B65" s="16"/>
      <c r="C65" s="17"/>
      <c r="D65" s="18"/>
      <c r="E65" s="19"/>
      <c r="F65" s="20" t="str">
        <f aca="true">IF(OR(B65="",E65=""),"",E65-TODAY())</f>
        <v/>
      </c>
      <c r="G65" s="21" t="str">
        <f aca="true">IF(B65="","",IF(E65="","Date TBC",IF(E65&lt;TODAY(),"Departed",IF(E65-TODAY()&lt;=14,"Due ≤ 14 days",IF(E65-TODAY()&lt;=30,"Due ≤ 30 days","Upcoming")))))</f>
        <v/>
      </c>
      <c r="H65" s="22" t="str">
        <f aca="false">IF(OR(B65="",D65=""),"",IF(D65="New position","New position",IF(COUNTIF('BoM Sheet'!$B$9:$B$108,"*"&amp;D65)=0,"Not on BoM list",IF(_xlfn.MAXIFS('BoM Sheet'!$E$9:$E$108,'BoM Sheet'!$B$9:$B$108,"*"&amp;D65)=0,"Date TBC",_xlfn.MAXIFS('BoM Sheet'!$E$9:$E$108,'BoM Sheet'!$B$9:$B$108,"*"&amp;D65)))))</f>
        <v/>
      </c>
      <c r="I65" s="20" t="str">
        <f aca="false">IF(AND(ISNUMBER(E65),ISNUMBER(H65)),E65-H65,"")</f>
        <v/>
      </c>
      <c r="J65" s="17"/>
    </row>
    <row r="66" customFormat="false" ht="19.5" hidden="false" customHeight="true" outlineLevel="0" collapsed="false">
      <c r="A66" s="23" t="str">
        <f aca="false">IF(B66="","",COUNTA($B$9:B66))</f>
        <v/>
      </c>
      <c r="B66" s="24"/>
      <c r="C66" s="25"/>
      <c r="D66" s="26"/>
      <c r="E66" s="27"/>
      <c r="F66" s="28" t="str">
        <f aca="true">IF(OR(B66="",E66=""),"",E66-TODAY())</f>
        <v/>
      </c>
      <c r="G66" s="29" t="str">
        <f aca="true">IF(B66="","",IF(E66="","Date TBC",IF(E66&lt;TODAY(),"Departed",IF(E66-TODAY()&lt;=14,"Due ≤ 14 days",IF(E66-TODAY()&lt;=30,"Due ≤ 30 days","Upcoming")))))</f>
        <v/>
      </c>
      <c r="H66" s="30" t="str">
        <f aca="false">IF(OR(B66="",D66=""),"",IF(D66="New position","New position",IF(COUNTIF('BoM Sheet'!$B$9:$B$108,"*"&amp;D66)=0,"Not on BoM list",IF(_xlfn.MAXIFS('BoM Sheet'!$E$9:$E$108,'BoM Sheet'!$B$9:$B$108,"*"&amp;D66)=0,"Date TBC",_xlfn.MAXIFS('BoM Sheet'!$E$9:$E$108,'BoM Sheet'!$B$9:$B$108,"*"&amp;D66)))))</f>
        <v/>
      </c>
      <c r="I66" s="28" t="str">
        <f aca="false">IF(AND(ISNUMBER(E66),ISNUMBER(H66)),E66-H66,"")</f>
        <v/>
      </c>
      <c r="J66" s="25"/>
    </row>
    <row r="67" customFormat="false" ht="19.5" hidden="false" customHeight="true" outlineLevel="0" collapsed="false">
      <c r="A67" s="15" t="str">
        <f aca="false">IF(B67="","",COUNTA($B$9:B67))</f>
        <v/>
      </c>
      <c r="B67" s="16"/>
      <c r="C67" s="17"/>
      <c r="D67" s="18"/>
      <c r="E67" s="19"/>
      <c r="F67" s="20" t="str">
        <f aca="true">IF(OR(B67="",E67=""),"",E67-TODAY())</f>
        <v/>
      </c>
      <c r="G67" s="21" t="str">
        <f aca="true">IF(B67="","",IF(E67="","Date TBC",IF(E67&lt;TODAY(),"Departed",IF(E67-TODAY()&lt;=14,"Due ≤ 14 days",IF(E67-TODAY()&lt;=30,"Due ≤ 30 days","Upcoming")))))</f>
        <v/>
      </c>
      <c r="H67" s="22" t="str">
        <f aca="false">IF(OR(B67="",D67=""),"",IF(D67="New position","New position",IF(COUNTIF('BoM Sheet'!$B$9:$B$108,"*"&amp;D67)=0,"Not on BoM list",IF(_xlfn.MAXIFS('BoM Sheet'!$E$9:$E$108,'BoM Sheet'!$B$9:$B$108,"*"&amp;D67)=0,"Date TBC",_xlfn.MAXIFS('BoM Sheet'!$E$9:$E$108,'BoM Sheet'!$B$9:$B$108,"*"&amp;D67)))))</f>
        <v/>
      </c>
      <c r="I67" s="20" t="str">
        <f aca="false">IF(AND(ISNUMBER(E67),ISNUMBER(H67)),E67-H67,"")</f>
        <v/>
      </c>
      <c r="J67" s="17"/>
    </row>
    <row r="68" customFormat="false" ht="19.5" hidden="false" customHeight="true" outlineLevel="0" collapsed="false">
      <c r="A68" s="23" t="str">
        <f aca="false">IF(B68="","",COUNTA($B$9:B68))</f>
        <v/>
      </c>
      <c r="B68" s="24"/>
      <c r="C68" s="25"/>
      <c r="D68" s="26"/>
      <c r="E68" s="27"/>
      <c r="F68" s="28" t="str">
        <f aca="true">IF(OR(B68="",E68=""),"",E68-TODAY())</f>
        <v/>
      </c>
      <c r="G68" s="29" t="str">
        <f aca="true">IF(B68="","",IF(E68="","Date TBC",IF(E68&lt;TODAY(),"Departed",IF(E68-TODAY()&lt;=14,"Due ≤ 14 days",IF(E68-TODAY()&lt;=30,"Due ≤ 30 days","Upcoming")))))</f>
        <v/>
      </c>
      <c r="H68" s="30" t="str">
        <f aca="false">IF(OR(B68="",D68=""),"",IF(D68="New position","New position",IF(COUNTIF('BoM Sheet'!$B$9:$B$108,"*"&amp;D68)=0,"Not on BoM list",IF(_xlfn.MAXIFS('BoM Sheet'!$E$9:$E$108,'BoM Sheet'!$B$9:$B$108,"*"&amp;D68)=0,"Date TBC",_xlfn.MAXIFS('BoM Sheet'!$E$9:$E$108,'BoM Sheet'!$B$9:$B$108,"*"&amp;D68)))))</f>
        <v/>
      </c>
      <c r="I68" s="28" t="str">
        <f aca="false">IF(AND(ISNUMBER(E68),ISNUMBER(H68)),E68-H68,"")</f>
        <v/>
      </c>
      <c r="J68" s="25"/>
    </row>
    <row r="69" customFormat="false" ht="19.5" hidden="false" customHeight="true" outlineLevel="0" collapsed="false">
      <c r="A69" s="15" t="str">
        <f aca="false">IF(B69="","",COUNTA($B$9:B69))</f>
        <v/>
      </c>
      <c r="B69" s="16"/>
      <c r="C69" s="17"/>
      <c r="D69" s="18"/>
      <c r="E69" s="19"/>
      <c r="F69" s="20" t="str">
        <f aca="true">IF(OR(B69="",E69=""),"",E69-TODAY())</f>
        <v/>
      </c>
      <c r="G69" s="21" t="str">
        <f aca="true">IF(B69="","",IF(E69="","Date TBC",IF(E69&lt;TODAY(),"Departed",IF(E69-TODAY()&lt;=14,"Due ≤ 14 days",IF(E69-TODAY()&lt;=30,"Due ≤ 30 days","Upcoming")))))</f>
        <v/>
      </c>
      <c r="H69" s="22" t="str">
        <f aca="false">IF(OR(B69="",D69=""),"",IF(D69="New position","New position",IF(COUNTIF('BoM Sheet'!$B$9:$B$108,"*"&amp;D69)=0,"Not on BoM list",IF(_xlfn.MAXIFS('BoM Sheet'!$E$9:$E$108,'BoM Sheet'!$B$9:$B$108,"*"&amp;D69)=0,"Date TBC",_xlfn.MAXIFS('BoM Sheet'!$E$9:$E$108,'BoM Sheet'!$B$9:$B$108,"*"&amp;D69)))))</f>
        <v/>
      </c>
      <c r="I69" s="20" t="str">
        <f aca="false">IF(AND(ISNUMBER(E69),ISNUMBER(H69)),E69-H69,"")</f>
        <v/>
      </c>
      <c r="J69" s="17"/>
    </row>
    <row r="70" customFormat="false" ht="19.5" hidden="false" customHeight="true" outlineLevel="0" collapsed="false">
      <c r="A70" s="23" t="str">
        <f aca="false">IF(B70="","",COUNTA($B$9:B70))</f>
        <v/>
      </c>
      <c r="B70" s="24"/>
      <c r="C70" s="25"/>
      <c r="D70" s="26"/>
      <c r="E70" s="27"/>
      <c r="F70" s="28" t="str">
        <f aca="true">IF(OR(B70="",E70=""),"",E70-TODAY())</f>
        <v/>
      </c>
      <c r="G70" s="29" t="str">
        <f aca="true">IF(B70="","",IF(E70="","Date TBC",IF(E70&lt;TODAY(),"Departed",IF(E70-TODAY()&lt;=14,"Due ≤ 14 days",IF(E70-TODAY()&lt;=30,"Due ≤ 30 days","Upcoming")))))</f>
        <v/>
      </c>
      <c r="H70" s="30" t="str">
        <f aca="false">IF(OR(B70="",D70=""),"",IF(D70="New position","New position",IF(COUNTIF('BoM Sheet'!$B$9:$B$108,"*"&amp;D70)=0,"Not on BoM list",IF(_xlfn.MAXIFS('BoM Sheet'!$E$9:$E$108,'BoM Sheet'!$B$9:$B$108,"*"&amp;D70)=0,"Date TBC",_xlfn.MAXIFS('BoM Sheet'!$E$9:$E$108,'BoM Sheet'!$B$9:$B$108,"*"&amp;D70)))))</f>
        <v/>
      </c>
      <c r="I70" s="28" t="str">
        <f aca="false">IF(AND(ISNUMBER(E70),ISNUMBER(H70)),E70-H70,"")</f>
        <v/>
      </c>
      <c r="J70" s="25"/>
    </row>
    <row r="71" customFormat="false" ht="19.5" hidden="false" customHeight="true" outlineLevel="0" collapsed="false">
      <c r="A71" s="15" t="str">
        <f aca="false">IF(B71="","",COUNTA($B$9:B71))</f>
        <v/>
      </c>
      <c r="B71" s="16"/>
      <c r="C71" s="17"/>
      <c r="D71" s="18"/>
      <c r="E71" s="19"/>
      <c r="F71" s="20" t="str">
        <f aca="true">IF(OR(B71="",E71=""),"",E71-TODAY())</f>
        <v/>
      </c>
      <c r="G71" s="21" t="str">
        <f aca="true">IF(B71="","",IF(E71="","Date TBC",IF(E71&lt;TODAY(),"Departed",IF(E71-TODAY()&lt;=14,"Due ≤ 14 days",IF(E71-TODAY()&lt;=30,"Due ≤ 30 days","Upcoming")))))</f>
        <v/>
      </c>
      <c r="H71" s="22" t="str">
        <f aca="false">IF(OR(B71="",D71=""),"",IF(D71="New position","New position",IF(COUNTIF('BoM Sheet'!$B$9:$B$108,"*"&amp;D71)=0,"Not on BoM list",IF(_xlfn.MAXIFS('BoM Sheet'!$E$9:$E$108,'BoM Sheet'!$B$9:$B$108,"*"&amp;D71)=0,"Date TBC",_xlfn.MAXIFS('BoM Sheet'!$E$9:$E$108,'BoM Sheet'!$B$9:$B$108,"*"&amp;D71)))))</f>
        <v/>
      </c>
      <c r="I71" s="20" t="str">
        <f aca="false">IF(AND(ISNUMBER(E71),ISNUMBER(H71)),E71-H71,"")</f>
        <v/>
      </c>
      <c r="J71" s="17"/>
    </row>
    <row r="72" customFormat="false" ht="19.5" hidden="false" customHeight="true" outlineLevel="0" collapsed="false">
      <c r="A72" s="23" t="str">
        <f aca="false">IF(B72="","",COUNTA($B$9:B72))</f>
        <v/>
      </c>
      <c r="B72" s="24"/>
      <c r="C72" s="25"/>
      <c r="D72" s="26"/>
      <c r="E72" s="27"/>
      <c r="F72" s="28" t="str">
        <f aca="true">IF(OR(B72="",E72=""),"",E72-TODAY())</f>
        <v/>
      </c>
      <c r="G72" s="29" t="str">
        <f aca="true">IF(B72="","",IF(E72="","Date TBC",IF(E72&lt;TODAY(),"Departed",IF(E72-TODAY()&lt;=14,"Due ≤ 14 days",IF(E72-TODAY()&lt;=30,"Due ≤ 30 days","Upcoming")))))</f>
        <v/>
      </c>
      <c r="H72" s="30" t="str">
        <f aca="false">IF(OR(B72="",D72=""),"",IF(D72="New position","New position",IF(COUNTIF('BoM Sheet'!$B$9:$B$108,"*"&amp;D72)=0,"Not on BoM list",IF(_xlfn.MAXIFS('BoM Sheet'!$E$9:$E$108,'BoM Sheet'!$B$9:$B$108,"*"&amp;D72)=0,"Date TBC",_xlfn.MAXIFS('BoM Sheet'!$E$9:$E$108,'BoM Sheet'!$B$9:$B$108,"*"&amp;D72)))))</f>
        <v/>
      </c>
      <c r="I72" s="28" t="str">
        <f aca="false">IF(AND(ISNUMBER(E72),ISNUMBER(H72)),E72-H72,"")</f>
        <v/>
      </c>
      <c r="J72" s="25"/>
    </row>
    <row r="73" customFormat="false" ht="19.5" hidden="false" customHeight="true" outlineLevel="0" collapsed="false">
      <c r="A73" s="15" t="str">
        <f aca="false">IF(B73="","",COUNTA($B$9:B73))</f>
        <v/>
      </c>
      <c r="B73" s="16"/>
      <c r="C73" s="17"/>
      <c r="D73" s="18"/>
      <c r="E73" s="19"/>
      <c r="F73" s="20" t="str">
        <f aca="true">IF(OR(B73="",E73=""),"",E73-TODAY())</f>
        <v/>
      </c>
      <c r="G73" s="21" t="str">
        <f aca="true">IF(B73="","",IF(E73="","Date TBC",IF(E73&lt;TODAY(),"Departed",IF(E73-TODAY()&lt;=14,"Due ≤ 14 days",IF(E73-TODAY()&lt;=30,"Due ≤ 30 days","Upcoming")))))</f>
        <v/>
      </c>
      <c r="H73" s="22" t="str">
        <f aca="false">IF(OR(B73="",D73=""),"",IF(D73="New position","New position",IF(COUNTIF('BoM Sheet'!$B$9:$B$108,"*"&amp;D73)=0,"Not on BoM list",IF(_xlfn.MAXIFS('BoM Sheet'!$E$9:$E$108,'BoM Sheet'!$B$9:$B$108,"*"&amp;D73)=0,"Date TBC",_xlfn.MAXIFS('BoM Sheet'!$E$9:$E$108,'BoM Sheet'!$B$9:$B$108,"*"&amp;D73)))))</f>
        <v/>
      </c>
      <c r="I73" s="20" t="str">
        <f aca="false">IF(AND(ISNUMBER(E73),ISNUMBER(H73)),E73-H73,"")</f>
        <v/>
      </c>
      <c r="J73" s="17"/>
    </row>
    <row r="74" customFormat="false" ht="19.5" hidden="false" customHeight="true" outlineLevel="0" collapsed="false">
      <c r="A74" s="23" t="str">
        <f aca="false">IF(B74="","",COUNTA($B$9:B74))</f>
        <v/>
      </c>
      <c r="B74" s="24"/>
      <c r="C74" s="25"/>
      <c r="D74" s="26"/>
      <c r="E74" s="27"/>
      <c r="F74" s="28" t="str">
        <f aca="true">IF(OR(B74="",E74=""),"",E74-TODAY())</f>
        <v/>
      </c>
      <c r="G74" s="29" t="str">
        <f aca="true">IF(B74="","",IF(E74="","Date TBC",IF(E74&lt;TODAY(),"Departed",IF(E74-TODAY()&lt;=14,"Due ≤ 14 days",IF(E74-TODAY()&lt;=30,"Due ≤ 30 days","Upcoming")))))</f>
        <v/>
      </c>
      <c r="H74" s="30" t="str">
        <f aca="false">IF(OR(B74="",D74=""),"",IF(D74="New position","New position",IF(COUNTIF('BoM Sheet'!$B$9:$B$108,"*"&amp;D74)=0,"Not on BoM list",IF(_xlfn.MAXIFS('BoM Sheet'!$E$9:$E$108,'BoM Sheet'!$B$9:$B$108,"*"&amp;D74)=0,"Date TBC",_xlfn.MAXIFS('BoM Sheet'!$E$9:$E$108,'BoM Sheet'!$B$9:$B$108,"*"&amp;D74)))))</f>
        <v/>
      </c>
      <c r="I74" s="28" t="str">
        <f aca="false">IF(AND(ISNUMBER(E74),ISNUMBER(H74)),E74-H74,"")</f>
        <v/>
      </c>
      <c r="J74" s="25"/>
    </row>
    <row r="75" customFormat="false" ht="19.5" hidden="false" customHeight="true" outlineLevel="0" collapsed="false">
      <c r="A75" s="15" t="str">
        <f aca="false">IF(B75="","",COUNTA($B$9:B75))</f>
        <v/>
      </c>
      <c r="B75" s="16"/>
      <c r="C75" s="17"/>
      <c r="D75" s="18"/>
      <c r="E75" s="19"/>
      <c r="F75" s="20" t="str">
        <f aca="true">IF(OR(B75="",E75=""),"",E75-TODAY())</f>
        <v/>
      </c>
      <c r="G75" s="21" t="str">
        <f aca="true">IF(B75="","",IF(E75="","Date TBC",IF(E75&lt;TODAY(),"Departed",IF(E75-TODAY()&lt;=14,"Due ≤ 14 days",IF(E75-TODAY()&lt;=30,"Due ≤ 30 days","Upcoming")))))</f>
        <v/>
      </c>
      <c r="H75" s="22" t="str">
        <f aca="false">IF(OR(B75="",D75=""),"",IF(D75="New position","New position",IF(COUNTIF('BoM Sheet'!$B$9:$B$108,"*"&amp;D75)=0,"Not on BoM list",IF(_xlfn.MAXIFS('BoM Sheet'!$E$9:$E$108,'BoM Sheet'!$B$9:$B$108,"*"&amp;D75)=0,"Date TBC",_xlfn.MAXIFS('BoM Sheet'!$E$9:$E$108,'BoM Sheet'!$B$9:$B$108,"*"&amp;D75)))))</f>
        <v/>
      </c>
      <c r="I75" s="20" t="str">
        <f aca="false">IF(AND(ISNUMBER(E75),ISNUMBER(H75)),E75-H75,"")</f>
        <v/>
      </c>
      <c r="J75" s="17"/>
    </row>
    <row r="76" customFormat="false" ht="19.5" hidden="false" customHeight="true" outlineLevel="0" collapsed="false">
      <c r="A76" s="23" t="str">
        <f aca="false">IF(B76="","",COUNTA($B$9:B76))</f>
        <v/>
      </c>
      <c r="B76" s="24"/>
      <c r="C76" s="25"/>
      <c r="D76" s="26"/>
      <c r="E76" s="27"/>
      <c r="F76" s="28" t="str">
        <f aca="true">IF(OR(B76="",E76=""),"",E76-TODAY())</f>
        <v/>
      </c>
      <c r="G76" s="29" t="str">
        <f aca="true">IF(B76="","",IF(E76="","Date TBC",IF(E76&lt;TODAY(),"Departed",IF(E76-TODAY()&lt;=14,"Due ≤ 14 days",IF(E76-TODAY()&lt;=30,"Due ≤ 30 days","Upcoming")))))</f>
        <v/>
      </c>
      <c r="H76" s="30" t="str">
        <f aca="false">IF(OR(B76="",D76=""),"",IF(D76="New position","New position",IF(COUNTIF('BoM Sheet'!$B$9:$B$108,"*"&amp;D76)=0,"Not on BoM list",IF(_xlfn.MAXIFS('BoM Sheet'!$E$9:$E$108,'BoM Sheet'!$B$9:$B$108,"*"&amp;D76)=0,"Date TBC",_xlfn.MAXIFS('BoM Sheet'!$E$9:$E$108,'BoM Sheet'!$B$9:$B$108,"*"&amp;D76)))))</f>
        <v/>
      </c>
      <c r="I76" s="28" t="str">
        <f aca="false">IF(AND(ISNUMBER(E76),ISNUMBER(H76)),E76-H76,"")</f>
        <v/>
      </c>
      <c r="J76" s="25"/>
    </row>
    <row r="77" customFormat="false" ht="19.5" hidden="false" customHeight="true" outlineLevel="0" collapsed="false">
      <c r="A77" s="15" t="str">
        <f aca="false">IF(B77="","",COUNTA($B$9:B77))</f>
        <v/>
      </c>
      <c r="B77" s="16"/>
      <c r="C77" s="17"/>
      <c r="D77" s="18"/>
      <c r="E77" s="19"/>
      <c r="F77" s="20" t="str">
        <f aca="true">IF(OR(B77="",E77=""),"",E77-TODAY())</f>
        <v/>
      </c>
      <c r="G77" s="21" t="str">
        <f aca="true">IF(B77="","",IF(E77="","Date TBC",IF(E77&lt;TODAY(),"Departed",IF(E77-TODAY()&lt;=14,"Due ≤ 14 days",IF(E77-TODAY()&lt;=30,"Due ≤ 30 days","Upcoming")))))</f>
        <v/>
      </c>
      <c r="H77" s="22" t="str">
        <f aca="false">IF(OR(B77="",D77=""),"",IF(D77="New position","New position",IF(COUNTIF('BoM Sheet'!$B$9:$B$108,"*"&amp;D77)=0,"Not on BoM list",IF(_xlfn.MAXIFS('BoM Sheet'!$E$9:$E$108,'BoM Sheet'!$B$9:$B$108,"*"&amp;D77)=0,"Date TBC",_xlfn.MAXIFS('BoM Sheet'!$E$9:$E$108,'BoM Sheet'!$B$9:$B$108,"*"&amp;D77)))))</f>
        <v/>
      </c>
      <c r="I77" s="20" t="str">
        <f aca="false">IF(AND(ISNUMBER(E77),ISNUMBER(H77)),E77-H77,"")</f>
        <v/>
      </c>
      <c r="J77" s="17"/>
    </row>
    <row r="78" customFormat="false" ht="19.5" hidden="false" customHeight="true" outlineLevel="0" collapsed="false">
      <c r="A78" s="23" t="str">
        <f aca="false">IF(B78="","",COUNTA($B$9:B78))</f>
        <v/>
      </c>
      <c r="B78" s="24"/>
      <c r="C78" s="25"/>
      <c r="D78" s="26"/>
      <c r="E78" s="27"/>
      <c r="F78" s="28" t="str">
        <f aca="true">IF(OR(B78="",E78=""),"",E78-TODAY())</f>
        <v/>
      </c>
      <c r="G78" s="29" t="str">
        <f aca="true">IF(B78="","",IF(E78="","Date TBC",IF(E78&lt;TODAY(),"Departed",IF(E78-TODAY()&lt;=14,"Due ≤ 14 days",IF(E78-TODAY()&lt;=30,"Due ≤ 30 days","Upcoming")))))</f>
        <v/>
      </c>
      <c r="H78" s="30" t="str">
        <f aca="false">IF(OR(B78="",D78=""),"",IF(D78="New position","New position",IF(COUNTIF('BoM Sheet'!$B$9:$B$108,"*"&amp;D78)=0,"Not on BoM list",IF(_xlfn.MAXIFS('BoM Sheet'!$E$9:$E$108,'BoM Sheet'!$B$9:$B$108,"*"&amp;D78)=0,"Date TBC",_xlfn.MAXIFS('BoM Sheet'!$E$9:$E$108,'BoM Sheet'!$B$9:$B$108,"*"&amp;D78)))))</f>
        <v/>
      </c>
      <c r="I78" s="28" t="str">
        <f aca="false">IF(AND(ISNUMBER(E78),ISNUMBER(H78)),E78-H78,"")</f>
        <v/>
      </c>
      <c r="J78" s="25"/>
    </row>
    <row r="79" customFormat="false" ht="19.5" hidden="false" customHeight="true" outlineLevel="0" collapsed="false">
      <c r="A79" s="15" t="str">
        <f aca="false">IF(B79="","",COUNTA($B$9:B79))</f>
        <v/>
      </c>
      <c r="B79" s="16"/>
      <c r="C79" s="17"/>
      <c r="D79" s="18"/>
      <c r="E79" s="19"/>
      <c r="F79" s="20" t="str">
        <f aca="true">IF(OR(B79="",E79=""),"",E79-TODAY())</f>
        <v/>
      </c>
      <c r="G79" s="21" t="str">
        <f aca="true">IF(B79="","",IF(E79="","Date TBC",IF(E79&lt;TODAY(),"Departed",IF(E79-TODAY()&lt;=14,"Due ≤ 14 days",IF(E79-TODAY()&lt;=30,"Due ≤ 30 days","Upcoming")))))</f>
        <v/>
      </c>
      <c r="H79" s="22" t="str">
        <f aca="false">IF(OR(B79="",D79=""),"",IF(D79="New position","New position",IF(COUNTIF('BoM Sheet'!$B$9:$B$108,"*"&amp;D79)=0,"Not on BoM list",IF(_xlfn.MAXIFS('BoM Sheet'!$E$9:$E$108,'BoM Sheet'!$B$9:$B$108,"*"&amp;D79)=0,"Date TBC",_xlfn.MAXIFS('BoM Sheet'!$E$9:$E$108,'BoM Sheet'!$B$9:$B$108,"*"&amp;D79)))))</f>
        <v/>
      </c>
      <c r="I79" s="20" t="str">
        <f aca="false">IF(AND(ISNUMBER(E79),ISNUMBER(H79)),E79-H79,"")</f>
        <v/>
      </c>
      <c r="J79" s="17"/>
    </row>
    <row r="80" customFormat="false" ht="19.5" hidden="false" customHeight="true" outlineLevel="0" collapsed="false">
      <c r="A80" s="23" t="str">
        <f aca="false">IF(B80="","",COUNTA($B$9:B80))</f>
        <v/>
      </c>
      <c r="B80" s="24"/>
      <c r="C80" s="25"/>
      <c r="D80" s="26"/>
      <c r="E80" s="27"/>
      <c r="F80" s="28" t="str">
        <f aca="true">IF(OR(B80="",E80=""),"",E80-TODAY())</f>
        <v/>
      </c>
      <c r="G80" s="29" t="str">
        <f aca="true">IF(B80="","",IF(E80="","Date TBC",IF(E80&lt;TODAY(),"Departed",IF(E80-TODAY()&lt;=14,"Due ≤ 14 days",IF(E80-TODAY()&lt;=30,"Due ≤ 30 days","Upcoming")))))</f>
        <v/>
      </c>
      <c r="H80" s="30" t="str">
        <f aca="false">IF(OR(B80="",D80=""),"",IF(D80="New position","New position",IF(COUNTIF('BoM Sheet'!$B$9:$B$108,"*"&amp;D80)=0,"Not on BoM list",IF(_xlfn.MAXIFS('BoM Sheet'!$E$9:$E$108,'BoM Sheet'!$B$9:$B$108,"*"&amp;D80)=0,"Date TBC",_xlfn.MAXIFS('BoM Sheet'!$E$9:$E$108,'BoM Sheet'!$B$9:$B$108,"*"&amp;D80)))))</f>
        <v/>
      </c>
      <c r="I80" s="28" t="str">
        <f aca="false">IF(AND(ISNUMBER(E80),ISNUMBER(H80)),E80-H80,"")</f>
        <v/>
      </c>
      <c r="J80" s="25"/>
    </row>
    <row r="81" customFormat="false" ht="19.5" hidden="false" customHeight="true" outlineLevel="0" collapsed="false">
      <c r="A81" s="15" t="str">
        <f aca="false">IF(B81="","",COUNTA($B$9:B81))</f>
        <v/>
      </c>
      <c r="B81" s="16"/>
      <c r="C81" s="17"/>
      <c r="D81" s="18"/>
      <c r="E81" s="19"/>
      <c r="F81" s="20" t="str">
        <f aca="true">IF(OR(B81="",E81=""),"",E81-TODAY())</f>
        <v/>
      </c>
      <c r="G81" s="21" t="str">
        <f aca="true">IF(B81="","",IF(E81="","Date TBC",IF(E81&lt;TODAY(),"Departed",IF(E81-TODAY()&lt;=14,"Due ≤ 14 days",IF(E81-TODAY()&lt;=30,"Due ≤ 30 days","Upcoming")))))</f>
        <v/>
      </c>
      <c r="H81" s="22" t="str">
        <f aca="false">IF(OR(B81="",D81=""),"",IF(D81="New position","New position",IF(COUNTIF('BoM Sheet'!$B$9:$B$108,"*"&amp;D81)=0,"Not on BoM list",IF(_xlfn.MAXIFS('BoM Sheet'!$E$9:$E$108,'BoM Sheet'!$B$9:$B$108,"*"&amp;D81)=0,"Date TBC",_xlfn.MAXIFS('BoM Sheet'!$E$9:$E$108,'BoM Sheet'!$B$9:$B$108,"*"&amp;D81)))))</f>
        <v/>
      </c>
      <c r="I81" s="20" t="str">
        <f aca="false">IF(AND(ISNUMBER(E81),ISNUMBER(H81)),E81-H81,"")</f>
        <v/>
      </c>
      <c r="J81" s="17"/>
    </row>
    <row r="82" customFormat="false" ht="19.5" hidden="false" customHeight="true" outlineLevel="0" collapsed="false">
      <c r="A82" s="23" t="str">
        <f aca="false">IF(B82="","",COUNTA($B$9:B82))</f>
        <v/>
      </c>
      <c r="B82" s="24"/>
      <c r="C82" s="25"/>
      <c r="D82" s="26"/>
      <c r="E82" s="27"/>
      <c r="F82" s="28" t="str">
        <f aca="true">IF(OR(B82="",E82=""),"",E82-TODAY())</f>
        <v/>
      </c>
      <c r="G82" s="29" t="str">
        <f aca="true">IF(B82="","",IF(E82="","Date TBC",IF(E82&lt;TODAY(),"Departed",IF(E82-TODAY()&lt;=14,"Due ≤ 14 days",IF(E82-TODAY()&lt;=30,"Due ≤ 30 days","Upcoming")))))</f>
        <v/>
      </c>
      <c r="H82" s="30" t="str">
        <f aca="false">IF(OR(B82="",D82=""),"",IF(D82="New position","New position",IF(COUNTIF('BoM Sheet'!$B$9:$B$108,"*"&amp;D82)=0,"Not on BoM list",IF(_xlfn.MAXIFS('BoM Sheet'!$E$9:$E$108,'BoM Sheet'!$B$9:$B$108,"*"&amp;D82)=0,"Date TBC",_xlfn.MAXIFS('BoM Sheet'!$E$9:$E$108,'BoM Sheet'!$B$9:$B$108,"*"&amp;D82)))))</f>
        <v/>
      </c>
      <c r="I82" s="28" t="str">
        <f aca="false">IF(AND(ISNUMBER(E82),ISNUMBER(H82)),E82-H82,"")</f>
        <v/>
      </c>
      <c r="J82" s="25"/>
    </row>
    <row r="83" customFormat="false" ht="19.5" hidden="false" customHeight="true" outlineLevel="0" collapsed="false">
      <c r="A83" s="15" t="str">
        <f aca="false">IF(B83="","",COUNTA($B$9:B83))</f>
        <v/>
      </c>
      <c r="B83" s="16"/>
      <c r="C83" s="17"/>
      <c r="D83" s="18"/>
      <c r="E83" s="19"/>
      <c r="F83" s="20" t="str">
        <f aca="true">IF(OR(B83="",E83=""),"",E83-TODAY())</f>
        <v/>
      </c>
      <c r="G83" s="21" t="str">
        <f aca="true">IF(B83="","",IF(E83="","Date TBC",IF(E83&lt;TODAY(),"Departed",IF(E83-TODAY()&lt;=14,"Due ≤ 14 days",IF(E83-TODAY()&lt;=30,"Due ≤ 30 days","Upcoming")))))</f>
        <v/>
      </c>
      <c r="H83" s="22" t="str">
        <f aca="false">IF(OR(B83="",D83=""),"",IF(D83="New position","New position",IF(COUNTIF('BoM Sheet'!$B$9:$B$108,"*"&amp;D83)=0,"Not on BoM list",IF(_xlfn.MAXIFS('BoM Sheet'!$E$9:$E$108,'BoM Sheet'!$B$9:$B$108,"*"&amp;D83)=0,"Date TBC",_xlfn.MAXIFS('BoM Sheet'!$E$9:$E$108,'BoM Sheet'!$B$9:$B$108,"*"&amp;D83)))))</f>
        <v/>
      </c>
      <c r="I83" s="20" t="str">
        <f aca="false">IF(AND(ISNUMBER(E83),ISNUMBER(H83)),E83-H83,"")</f>
        <v/>
      </c>
      <c r="J83" s="17"/>
    </row>
    <row r="84" customFormat="false" ht="19.5" hidden="false" customHeight="true" outlineLevel="0" collapsed="false">
      <c r="A84" s="23" t="str">
        <f aca="false">IF(B84="","",COUNTA($B$9:B84))</f>
        <v/>
      </c>
      <c r="B84" s="24"/>
      <c r="C84" s="25"/>
      <c r="D84" s="26"/>
      <c r="E84" s="27"/>
      <c r="F84" s="28" t="str">
        <f aca="true">IF(OR(B84="",E84=""),"",E84-TODAY())</f>
        <v/>
      </c>
      <c r="G84" s="29" t="str">
        <f aca="true">IF(B84="","",IF(E84="","Date TBC",IF(E84&lt;TODAY(),"Departed",IF(E84-TODAY()&lt;=14,"Due ≤ 14 days",IF(E84-TODAY()&lt;=30,"Due ≤ 30 days","Upcoming")))))</f>
        <v/>
      </c>
      <c r="H84" s="30" t="str">
        <f aca="false">IF(OR(B84="",D84=""),"",IF(D84="New position","New position",IF(COUNTIF('BoM Sheet'!$B$9:$B$108,"*"&amp;D84)=0,"Not on BoM list",IF(_xlfn.MAXIFS('BoM Sheet'!$E$9:$E$108,'BoM Sheet'!$B$9:$B$108,"*"&amp;D84)=0,"Date TBC",_xlfn.MAXIFS('BoM Sheet'!$E$9:$E$108,'BoM Sheet'!$B$9:$B$108,"*"&amp;D84)))))</f>
        <v/>
      </c>
      <c r="I84" s="28" t="str">
        <f aca="false">IF(AND(ISNUMBER(E84),ISNUMBER(H84)),E84-H84,"")</f>
        <v/>
      </c>
      <c r="J84" s="25"/>
    </row>
    <row r="85" customFormat="false" ht="19.5" hidden="false" customHeight="true" outlineLevel="0" collapsed="false">
      <c r="A85" s="15" t="str">
        <f aca="false">IF(B85="","",COUNTA($B$9:B85))</f>
        <v/>
      </c>
      <c r="B85" s="16"/>
      <c r="C85" s="17"/>
      <c r="D85" s="18"/>
      <c r="E85" s="19"/>
      <c r="F85" s="20" t="str">
        <f aca="true">IF(OR(B85="",E85=""),"",E85-TODAY())</f>
        <v/>
      </c>
      <c r="G85" s="21" t="str">
        <f aca="true">IF(B85="","",IF(E85="","Date TBC",IF(E85&lt;TODAY(),"Departed",IF(E85-TODAY()&lt;=14,"Due ≤ 14 days",IF(E85-TODAY()&lt;=30,"Due ≤ 30 days","Upcoming")))))</f>
        <v/>
      </c>
      <c r="H85" s="22" t="str">
        <f aca="false">IF(OR(B85="",D85=""),"",IF(D85="New position","New position",IF(COUNTIF('BoM Sheet'!$B$9:$B$108,"*"&amp;D85)=0,"Not on BoM list",IF(_xlfn.MAXIFS('BoM Sheet'!$E$9:$E$108,'BoM Sheet'!$B$9:$B$108,"*"&amp;D85)=0,"Date TBC",_xlfn.MAXIFS('BoM Sheet'!$E$9:$E$108,'BoM Sheet'!$B$9:$B$108,"*"&amp;D85)))))</f>
        <v/>
      </c>
      <c r="I85" s="20" t="str">
        <f aca="false">IF(AND(ISNUMBER(E85),ISNUMBER(H85)),E85-H85,"")</f>
        <v/>
      </c>
      <c r="J85" s="17"/>
    </row>
    <row r="86" customFormat="false" ht="19.5" hidden="false" customHeight="true" outlineLevel="0" collapsed="false">
      <c r="A86" s="23" t="str">
        <f aca="false">IF(B86="","",COUNTA($B$9:B86))</f>
        <v/>
      </c>
      <c r="B86" s="24"/>
      <c r="C86" s="25"/>
      <c r="D86" s="26"/>
      <c r="E86" s="27"/>
      <c r="F86" s="28" t="str">
        <f aca="true">IF(OR(B86="",E86=""),"",E86-TODAY())</f>
        <v/>
      </c>
      <c r="G86" s="29" t="str">
        <f aca="true">IF(B86="","",IF(E86="","Date TBC",IF(E86&lt;TODAY(),"Departed",IF(E86-TODAY()&lt;=14,"Due ≤ 14 days",IF(E86-TODAY()&lt;=30,"Due ≤ 30 days","Upcoming")))))</f>
        <v/>
      </c>
      <c r="H86" s="30" t="str">
        <f aca="false">IF(OR(B86="",D86=""),"",IF(D86="New position","New position",IF(COUNTIF('BoM Sheet'!$B$9:$B$108,"*"&amp;D86)=0,"Not on BoM list",IF(_xlfn.MAXIFS('BoM Sheet'!$E$9:$E$108,'BoM Sheet'!$B$9:$B$108,"*"&amp;D86)=0,"Date TBC",_xlfn.MAXIFS('BoM Sheet'!$E$9:$E$108,'BoM Sheet'!$B$9:$B$108,"*"&amp;D86)))))</f>
        <v/>
      </c>
      <c r="I86" s="28" t="str">
        <f aca="false">IF(AND(ISNUMBER(E86),ISNUMBER(H86)),E86-H86,"")</f>
        <v/>
      </c>
      <c r="J86" s="25"/>
    </row>
    <row r="87" customFormat="false" ht="19.5" hidden="false" customHeight="true" outlineLevel="0" collapsed="false">
      <c r="A87" s="15" t="str">
        <f aca="false">IF(B87="","",COUNTA($B$9:B87))</f>
        <v/>
      </c>
      <c r="B87" s="16"/>
      <c r="C87" s="17"/>
      <c r="D87" s="18"/>
      <c r="E87" s="19"/>
      <c r="F87" s="20" t="str">
        <f aca="true">IF(OR(B87="",E87=""),"",E87-TODAY())</f>
        <v/>
      </c>
      <c r="G87" s="21" t="str">
        <f aca="true">IF(B87="","",IF(E87="","Date TBC",IF(E87&lt;TODAY(),"Departed",IF(E87-TODAY()&lt;=14,"Due ≤ 14 days",IF(E87-TODAY()&lt;=30,"Due ≤ 30 days","Upcoming")))))</f>
        <v/>
      </c>
      <c r="H87" s="22" t="str">
        <f aca="false">IF(OR(B87="",D87=""),"",IF(D87="New position","New position",IF(COUNTIF('BoM Sheet'!$B$9:$B$108,"*"&amp;D87)=0,"Not on BoM list",IF(_xlfn.MAXIFS('BoM Sheet'!$E$9:$E$108,'BoM Sheet'!$B$9:$B$108,"*"&amp;D87)=0,"Date TBC",_xlfn.MAXIFS('BoM Sheet'!$E$9:$E$108,'BoM Sheet'!$B$9:$B$108,"*"&amp;D87)))))</f>
        <v/>
      </c>
      <c r="I87" s="20" t="str">
        <f aca="false">IF(AND(ISNUMBER(E87),ISNUMBER(H87)),E87-H87,"")</f>
        <v/>
      </c>
      <c r="J87" s="17"/>
    </row>
    <row r="88" customFormat="false" ht="19.5" hidden="false" customHeight="true" outlineLevel="0" collapsed="false">
      <c r="A88" s="23" t="str">
        <f aca="false">IF(B88="","",COUNTA($B$9:B88))</f>
        <v/>
      </c>
      <c r="B88" s="24"/>
      <c r="C88" s="25"/>
      <c r="D88" s="26"/>
      <c r="E88" s="27"/>
      <c r="F88" s="28" t="str">
        <f aca="true">IF(OR(B88="",E88=""),"",E88-TODAY())</f>
        <v/>
      </c>
      <c r="G88" s="29" t="str">
        <f aca="true">IF(B88="","",IF(E88="","Date TBC",IF(E88&lt;TODAY(),"Departed",IF(E88-TODAY()&lt;=14,"Due ≤ 14 days",IF(E88-TODAY()&lt;=30,"Due ≤ 30 days","Upcoming")))))</f>
        <v/>
      </c>
      <c r="H88" s="30" t="str">
        <f aca="false">IF(OR(B88="",D88=""),"",IF(D88="New position","New position",IF(COUNTIF('BoM Sheet'!$B$9:$B$108,"*"&amp;D88)=0,"Not on BoM list",IF(_xlfn.MAXIFS('BoM Sheet'!$E$9:$E$108,'BoM Sheet'!$B$9:$B$108,"*"&amp;D88)=0,"Date TBC",_xlfn.MAXIFS('BoM Sheet'!$E$9:$E$108,'BoM Sheet'!$B$9:$B$108,"*"&amp;D88)))))</f>
        <v/>
      </c>
      <c r="I88" s="28" t="str">
        <f aca="false">IF(AND(ISNUMBER(E88),ISNUMBER(H88)),E88-H88,"")</f>
        <v/>
      </c>
      <c r="J88" s="25"/>
    </row>
    <row r="89" customFormat="false" ht="19.5" hidden="false" customHeight="true" outlineLevel="0" collapsed="false">
      <c r="A89" s="15" t="str">
        <f aca="false">IF(B89="","",COUNTA($B$9:B89))</f>
        <v/>
      </c>
      <c r="B89" s="16"/>
      <c r="C89" s="17"/>
      <c r="D89" s="18"/>
      <c r="E89" s="19"/>
      <c r="F89" s="20" t="str">
        <f aca="true">IF(OR(B89="",E89=""),"",E89-TODAY())</f>
        <v/>
      </c>
      <c r="G89" s="21" t="str">
        <f aca="true">IF(B89="","",IF(E89="","Date TBC",IF(E89&lt;TODAY(),"Departed",IF(E89-TODAY()&lt;=14,"Due ≤ 14 days",IF(E89-TODAY()&lt;=30,"Due ≤ 30 days","Upcoming")))))</f>
        <v/>
      </c>
      <c r="H89" s="22" t="str">
        <f aca="false">IF(OR(B89="",D89=""),"",IF(D89="New position","New position",IF(COUNTIF('BoM Sheet'!$B$9:$B$108,"*"&amp;D89)=0,"Not on BoM list",IF(_xlfn.MAXIFS('BoM Sheet'!$E$9:$E$108,'BoM Sheet'!$B$9:$B$108,"*"&amp;D89)=0,"Date TBC",_xlfn.MAXIFS('BoM Sheet'!$E$9:$E$108,'BoM Sheet'!$B$9:$B$108,"*"&amp;D89)))))</f>
        <v/>
      </c>
      <c r="I89" s="20" t="str">
        <f aca="false">IF(AND(ISNUMBER(E89),ISNUMBER(H89)),E89-H89,"")</f>
        <v/>
      </c>
      <c r="J89" s="17"/>
    </row>
    <row r="90" customFormat="false" ht="19.5" hidden="false" customHeight="true" outlineLevel="0" collapsed="false">
      <c r="A90" s="23" t="str">
        <f aca="false">IF(B90="","",COUNTA($B$9:B90))</f>
        <v/>
      </c>
      <c r="B90" s="24"/>
      <c r="C90" s="25"/>
      <c r="D90" s="26"/>
      <c r="E90" s="27"/>
      <c r="F90" s="28" t="str">
        <f aca="true">IF(OR(B90="",E90=""),"",E90-TODAY())</f>
        <v/>
      </c>
      <c r="G90" s="29" t="str">
        <f aca="true">IF(B90="","",IF(E90="","Date TBC",IF(E90&lt;TODAY(),"Departed",IF(E90-TODAY()&lt;=14,"Due ≤ 14 days",IF(E90-TODAY()&lt;=30,"Due ≤ 30 days","Upcoming")))))</f>
        <v/>
      </c>
      <c r="H90" s="30" t="str">
        <f aca="false">IF(OR(B90="",D90=""),"",IF(D90="New position","New position",IF(COUNTIF('BoM Sheet'!$B$9:$B$108,"*"&amp;D90)=0,"Not on BoM list",IF(_xlfn.MAXIFS('BoM Sheet'!$E$9:$E$108,'BoM Sheet'!$B$9:$B$108,"*"&amp;D90)=0,"Date TBC",_xlfn.MAXIFS('BoM Sheet'!$E$9:$E$108,'BoM Sheet'!$B$9:$B$108,"*"&amp;D90)))))</f>
        <v/>
      </c>
      <c r="I90" s="28" t="str">
        <f aca="false">IF(AND(ISNUMBER(E90),ISNUMBER(H90)),E90-H90,"")</f>
        <v/>
      </c>
      <c r="J90" s="25"/>
    </row>
    <row r="91" customFormat="false" ht="19.5" hidden="false" customHeight="true" outlineLevel="0" collapsed="false">
      <c r="A91" s="15" t="str">
        <f aca="false">IF(B91="","",COUNTA($B$9:B91))</f>
        <v/>
      </c>
      <c r="B91" s="16"/>
      <c r="C91" s="17"/>
      <c r="D91" s="18"/>
      <c r="E91" s="19"/>
      <c r="F91" s="20" t="str">
        <f aca="true">IF(OR(B91="",E91=""),"",E91-TODAY())</f>
        <v/>
      </c>
      <c r="G91" s="21" t="str">
        <f aca="true">IF(B91="","",IF(E91="","Date TBC",IF(E91&lt;TODAY(),"Departed",IF(E91-TODAY()&lt;=14,"Due ≤ 14 days",IF(E91-TODAY()&lt;=30,"Due ≤ 30 days","Upcoming")))))</f>
        <v/>
      </c>
      <c r="H91" s="22" t="str">
        <f aca="false">IF(OR(B91="",D91=""),"",IF(D91="New position","New position",IF(COUNTIF('BoM Sheet'!$B$9:$B$108,"*"&amp;D91)=0,"Not on BoM list",IF(_xlfn.MAXIFS('BoM Sheet'!$E$9:$E$108,'BoM Sheet'!$B$9:$B$108,"*"&amp;D91)=0,"Date TBC",_xlfn.MAXIFS('BoM Sheet'!$E$9:$E$108,'BoM Sheet'!$B$9:$B$108,"*"&amp;D91)))))</f>
        <v/>
      </c>
      <c r="I91" s="20" t="str">
        <f aca="false">IF(AND(ISNUMBER(E91),ISNUMBER(H91)),E91-H91,"")</f>
        <v/>
      </c>
      <c r="J91" s="17"/>
    </row>
    <row r="92" customFormat="false" ht="19.5" hidden="false" customHeight="true" outlineLevel="0" collapsed="false">
      <c r="A92" s="23" t="str">
        <f aca="false">IF(B92="","",COUNTA($B$9:B92))</f>
        <v/>
      </c>
      <c r="B92" s="24"/>
      <c r="C92" s="25"/>
      <c r="D92" s="26"/>
      <c r="E92" s="27"/>
      <c r="F92" s="28" t="str">
        <f aca="true">IF(OR(B92="",E92=""),"",E92-TODAY())</f>
        <v/>
      </c>
      <c r="G92" s="29" t="str">
        <f aca="true">IF(B92="","",IF(E92="","Date TBC",IF(E92&lt;TODAY(),"Departed",IF(E92-TODAY()&lt;=14,"Due ≤ 14 days",IF(E92-TODAY()&lt;=30,"Due ≤ 30 days","Upcoming")))))</f>
        <v/>
      </c>
      <c r="H92" s="30" t="str">
        <f aca="false">IF(OR(B92="",D92=""),"",IF(D92="New position","New position",IF(COUNTIF('BoM Sheet'!$B$9:$B$108,"*"&amp;D92)=0,"Not on BoM list",IF(_xlfn.MAXIFS('BoM Sheet'!$E$9:$E$108,'BoM Sheet'!$B$9:$B$108,"*"&amp;D92)=0,"Date TBC",_xlfn.MAXIFS('BoM Sheet'!$E$9:$E$108,'BoM Sheet'!$B$9:$B$108,"*"&amp;D92)))))</f>
        <v/>
      </c>
      <c r="I92" s="28" t="str">
        <f aca="false">IF(AND(ISNUMBER(E92),ISNUMBER(H92)),E92-H92,"")</f>
        <v/>
      </c>
      <c r="J92" s="25"/>
    </row>
    <row r="93" customFormat="false" ht="19.5" hidden="false" customHeight="true" outlineLevel="0" collapsed="false">
      <c r="A93" s="15" t="str">
        <f aca="false">IF(B93="","",COUNTA($B$9:B93))</f>
        <v/>
      </c>
      <c r="B93" s="16"/>
      <c r="C93" s="17"/>
      <c r="D93" s="18"/>
      <c r="E93" s="19"/>
      <c r="F93" s="20" t="str">
        <f aca="true">IF(OR(B93="",E93=""),"",E93-TODAY())</f>
        <v/>
      </c>
      <c r="G93" s="21" t="str">
        <f aca="true">IF(B93="","",IF(E93="","Date TBC",IF(E93&lt;TODAY(),"Departed",IF(E93-TODAY()&lt;=14,"Due ≤ 14 days",IF(E93-TODAY()&lt;=30,"Due ≤ 30 days","Upcoming")))))</f>
        <v/>
      </c>
      <c r="H93" s="22" t="str">
        <f aca="false">IF(OR(B93="",D93=""),"",IF(D93="New position","New position",IF(COUNTIF('BoM Sheet'!$B$9:$B$108,"*"&amp;D93)=0,"Not on BoM list",IF(_xlfn.MAXIFS('BoM Sheet'!$E$9:$E$108,'BoM Sheet'!$B$9:$B$108,"*"&amp;D93)=0,"Date TBC",_xlfn.MAXIFS('BoM Sheet'!$E$9:$E$108,'BoM Sheet'!$B$9:$B$108,"*"&amp;D93)))))</f>
        <v/>
      </c>
      <c r="I93" s="20" t="str">
        <f aca="false">IF(AND(ISNUMBER(E93),ISNUMBER(H93)),E93-H93,"")</f>
        <v/>
      </c>
      <c r="J93" s="17"/>
    </row>
    <row r="94" customFormat="false" ht="19.5" hidden="false" customHeight="true" outlineLevel="0" collapsed="false">
      <c r="A94" s="23" t="str">
        <f aca="false">IF(B94="","",COUNTA($B$9:B94))</f>
        <v/>
      </c>
      <c r="B94" s="24"/>
      <c r="C94" s="25"/>
      <c r="D94" s="26"/>
      <c r="E94" s="27"/>
      <c r="F94" s="28" t="str">
        <f aca="true">IF(OR(B94="",E94=""),"",E94-TODAY())</f>
        <v/>
      </c>
      <c r="G94" s="29" t="str">
        <f aca="true">IF(B94="","",IF(E94="","Date TBC",IF(E94&lt;TODAY(),"Departed",IF(E94-TODAY()&lt;=14,"Due ≤ 14 days",IF(E94-TODAY()&lt;=30,"Due ≤ 30 days","Upcoming")))))</f>
        <v/>
      </c>
      <c r="H94" s="30" t="str">
        <f aca="false">IF(OR(B94="",D94=""),"",IF(D94="New position","New position",IF(COUNTIF('BoM Sheet'!$B$9:$B$108,"*"&amp;D94)=0,"Not on BoM list",IF(_xlfn.MAXIFS('BoM Sheet'!$E$9:$E$108,'BoM Sheet'!$B$9:$B$108,"*"&amp;D94)=0,"Date TBC",_xlfn.MAXIFS('BoM Sheet'!$E$9:$E$108,'BoM Sheet'!$B$9:$B$108,"*"&amp;D94)))))</f>
        <v/>
      </c>
      <c r="I94" s="28" t="str">
        <f aca="false">IF(AND(ISNUMBER(E94),ISNUMBER(H94)),E94-H94,"")</f>
        <v/>
      </c>
      <c r="J94" s="25"/>
    </row>
    <row r="95" customFormat="false" ht="19.5" hidden="false" customHeight="true" outlineLevel="0" collapsed="false">
      <c r="A95" s="15" t="str">
        <f aca="false">IF(B95="","",COUNTA($B$9:B95))</f>
        <v/>
      </c>
      <c r="B95" s="16"/>
      <c r="C95" s="17"/>
      <c r="D95" s="18"/>
      <c r="E95" s="19"/>
      <c r="F95" s="20" t="str">
        <f aca="true">IF(OR(B95="",E95=""),"",E95-TODAY())</f>
        <v/>
      </c>
      <c r="G95" s="21" t="str">
        <f aca="true">IF(B95="","",IF(E95="","Date TBC",IF(E95&lt;TODAY(),"Departed",IF(E95-TODAY()&lt;=14,"Due ≤ 14 days",IF(E95-TODAY()&lt;=30,"Due ≤ 30 days","Upcoming")))))</f>
        <v/>
      </c>
      <c r="H95" s="22" t="str">
        <f aca="false">IF(OR(B95="",D95=""),"",IF(D95="New position","New position",IF(COUNTIF('BoM Sheet'!$B$9:$B$108,"*"&amp;D95)=0,"Not on BoM list",IF(_xlfn.MAXIFS('BoM Sheet'!$E$9:$E$108,'BoM Sheet'!$B$9:$B$108,"*"&amp;D95)=0,"Date TBC",_xlfn.MAXIFS('BoM Sheet'!$E$9:$E$108,'BoM Sheet'!$B$9:$B$108,"*"&amp;D95)))))</f>
        <v/>
      </c>
      <c r="I95" s="20" t="str">
        <f aca="false">IF(AND(ISNUMBER(E95),ISNUMBER(H95)),E95-H95,"")</f>
        <v/>
      </c>
      <c r="J95" s="17"/>
    </row>
    <row r="96" customFormat="false" ht="19.5" hidden="false" customHeight="true" outlineLevel="0" collapsed="false">
      <c r="A96" s="23" t="str">
        <f aca="false">IF(B96="","",COUNTA($B$9:B96))</f>
        <v/>
      </c>
      <c r="B96" s="24"/>
      <c r="C96" s="25"/>
      <c r="D96" s="26"/>
      <c r="E96" s="27"/>
      <c r="F96" s="28" t="str">
        <f aca="true">IF(OR(B96="",E96=""),"",E96-TODAY())</f>
        <v/>
      </c>
      <c r="G96" s="29" t="str">
        <f aca="true">IF(B96="","",IF(E96="","Date TBC",IF(E96&lt;TODAY(),"Departed",IF(E96-TODAY()&lt;=14,"Due ≤ 14 days",IF(E96-TODAY()&lt;=30,"Due ≤ 30 days","Upcoming")))))</f>
        <v/>
      </c>
      <c r="H96" s="30" t="str">
        <f aca="false">IF(OR(B96="",D96=""),"",IF(D96="New position","New position",IF(COUNTIF('BoM Sheet'!$B$9:$B$108,"*"&amp;D96)=0,"Not on BoM list",IF(_xlfn.MAXIFS('BoM Sheet'!$E$9:$E$108,'BoM Sheet'!$B$9:$B$108,"*"&amp;D96)=0,"Date TBC",_xlfn.MAXIFS('BoM Sheet'!$E$9:$E$108,'BoM Sheet'!$B$9:$B$108,"*"&amp;D96)))))</f>
        <v/>
      </c>
      <c r="I96" s="28" t="str">
        <f aca="false">IF(AND(ISNUMBER(E96),ISNUMBER(H96)),E96-H96,"")</f>
        <v/>
      </c>
      <c r="J96" s="25"/>
    </row>
    <row r="97" customFormat="false" ht="19.5" hidden="false" customHeight="true" outlineLevel="0" collapsed="false">
      <c r="A97" s="15" t="str">
        <f aca="false">IF(B97="","",COUNTA($B$9:B97))</f>
        <v/>
      </c>
      <c r="B97" s="16"/>
      <c r="C97" s="17"/>
      <c r="D97" s="18"/>
      <c r="E97" s="19"/>
      <c r="F97" s="20" t="str">
        <f aca="true">IF(OR(B97="",E97=""),"",E97-TODAY())</f>
        <v/>
      </c>
      <c r="G97" s="21" t="str">
        <f aca="true">IF(B97="","",IF(E97="","Date TBC",IF(E97&lt;TODAY(),"Departed",IF(E97-TODAY()&lt;=14,"Due ≤ 14 days",IF(E97-TODAY()&lt;=30,"Due ≤ 30 days","Upcoming")))))</f>
        <v/>
      </c>
      <c r="H97" s="22" t="str">
        <f aca="false">IF(OR(B97="",D97=""),"",IF(D97="New position","New position",IF(COUNTIF('BoM Sheet'!$B$9:$B$108,"*"&amp;D97)=0,"Not on BoM list",IF(_xlfn.MAXIFS('BoM Sheet'!$E$9:$E$108,'BoM Sheet'!$B$9:$B$108,"*"&amp;D97)=0,"Date TBC",_xlfn.MAXIFS('BoM Sheet'!$E$9:$E$108,'BoM Sheet'!$B$9:$B$108,"*"&amp;D97)))))</f>
        <v/>
      </c>
      <c r="I97" s="20" t="str">
        <f aca="false">IF(AND(ISNUMBER(E97),ISNUMBER(H97)),E97-H97,"")</f>
        <v/>
      </c>
      <c r="J97" s="17"/>
    </row>
    <row r="98" customFormat="false" ht="19.5" hidden="false" customHeight="true" outlineLevel="0" collapsed="false">
      <c r="A98" s="23" t="str">
        <f aca="false">IF(B98="","",COUNTA($B$9:B98))</f>
        <v/>
      </c>
      <c r="B98" s="24"/>
      <c r="C98" s="25"/>
      <c r="D98" s="26"/>
      <c r="E98" s="27"/>
      <c r="F98" s="28" t="str">
        <f aca="true">IF(OR(B98="",E98=""),"",E98-TODAY())</f>
        <v/>
      </c>
      <c r="G98" s="29" t="str">
        <f aca="true">IF(B98="","",IF(E98="","Date TBC",IF(E98&lt;TODAY(),"Departed",IF(E98-TODAY()&lt;=14,"Due ≤ 14 days",IF(E98-TODAY()&lt;=30,"Due ≤ 30 days","Upcoming")))))</f>
        <v/>
      </c>
      <c r="H98" s="30" t="str">
        <f aca="false">IF(OR(B98="",D98=""),"",IF(D98="New position","New position",IF(COUNTIF('BoM Sheet'!$B$9:$B$108,"*"&amp;D98)=0,"Not on BoM list",IF(_xlfn.MAXIFS('BoM Sheet'!$E$9:$E$108,'BoM Sheet'!$B$9:$B$108,"*"&amp;D98)=0,"Date TBC",_xlfn.MAXIFS('BoM Sheet'!$E$9:$E$108,'BoM Sheet'!$B$9:$B$108,"*"&amp;D98)))))</f>
        <v/>
      </c>
      <c r="I98" s="28" t="str">
        <f aca="false">IF(AND(ISNUMBER(E98),ISNUMBER(H98)),E98-H98,"")</f>
        <v/>
      </c>
      <c r="J98" s="25"/>
    </row>
    <row r="99" customFormat="false" ht="19.5" hidden="false" customHeight="true" outlineLevel="0" collapsed="false">
      <c r="A99" s="15" t="str">
        <f aca="false">IF(B99="","",COUNTA($B$9:B99))</f>
        <v/>
      </c>
      <c r="B99" s="16"/>
      <c r="C99" s="17"/>
      <c r="D99" s="18"/>
      <c r="E99" s="19"/>
      <c r="F99" s="20" t="str">
        <f aca="true">IF(OR(B99="",E99=""),"",E99-TODAY())</f>
        <v/>
      </c>
      <c r="G99" s="21" t="str">
        <f aca="true">IF(B99="","",IF(E99="","Date TBC",IF(E99&lt;TODAY(),"Departed",IF(E99-TODAY()&lt;=14,"Due ≤ 14 days",IF(E99-TODAY()&lt;=30,"Due ≤ 30 days","Upcoming")))))</f>
        <v/>
      </c>
      <c r="H99" s="22" t="str">
        <f aca="false">IF(OR(B99="",D99=""),"",IF(D99="New position","New position",IF(COUNTIF('BoM Sheet'!$B$9:$B$108,"*"&amp;D99)=0,"Not on BoM list",IF(_xlfn.MAXIFS('BoM Sheet'!$E$9:$E$108,'BoM Sheet'!$B$9:$B$108,"*"&amp;D99)=0,"Date TBC",_xlfn.MAXIFS('BoM Sheet'!$E$9:$E$108,'BoM Sheet'!$B$9:$B$108,"*"&amp;D99)))))</f>
        <v/>
      </c>
      <c r="I99" s="20" t="str">
        <f aca="false">IF(AND(ISNUMBER(E99),ISNUMBER(H99)),E99-H99,"")</f>
        <v/>
      </c>
      <c r="J99" s="17"/>
    </row>
    <row r="100" customFormat="false" ht="19.5" hidden="false" customHeight="true" outlineLevel="0" collapsed="false">
      <c r="A100" s="23" t="str">
        <f aca="false">IF(B100="","",COUNTA($B$9:B100))</f>
        <v/>
      </c>
      <c r="B100" s="24"/>
      <c r="C100" s="25"/>
      <c r="D100" s="26"/>
      <c r="E100" s="27"/>
      <c r="F100" s="28" t="str">
        <f aca="true">IF(OR(B100="",E100=""),"",E100-TODAY())</f>
        <v/>
      </c>
      <c r="G100" s="29" t="str">
        <f aca="true">IF(B100="","",IF(E100="","Date TBC",IF(E100&lt;TODAY(),"Departed",IF(E100-TODAY()&lt;=14,"Due ≤ 14 days",IF(E100-TODAY()&lt;=30,"Due ≤ 30 days","Upcoming")))))</f>
        <v/>
      </c>
      <c r="H100" s="30" t="str">
        <f aca="false">IF(OR(B100="",D100=""),"",IF(D100="New position","New position",IF(COUNTIF('BoM Sheet'!$B$9:$B$108,"*"&amp;D100)=0,"Not on BoM list",IF(_xlfn.MAXIFS('BoM Sheet'!$E$9:$E$108,'BoM Sheet'!$B$9:$B$108,"*"&amp;D100)=0,"Date TBC",_xlfn.MAXIFS('BoM Sheet'!$E$9:$E$108,'BoM Sheet'!$B$9:$B$108,"*"&amp;D100)))))</f>
        <v/>
      </c>
      <c r="I100" s="28" t="str">
        <f aca="false">IF(AND(ISNUMBER(E100),ISNUMBER(H100)),E100-H100,"")</f>
        <v/>
      </c>
      <c r="J100" s="25"/>
    </row>
    <row r="101" customFormat="false" ht="19.5" hidden="false" customHeight="true" outlineLevel="0" collapsed="false">
      <c r="A101" s="15" t="str">
        <f aca="false">IF(B101="","",COUNTA($B$9:B101))</f>
        <v/>
      </c>
      <c r="B101" s="16"/>
      <c r="C101" s="17"/>
      <c r="D101" s="18"/>
      <c r="E101" s="19"/>
      <c r="F101" s="20" t="str">
        <f aca="true">IF(OR(B101="",E101=""),"",E101-TODAY())</f>
        <v/>
      </c>
      <c r="G101" s="21" t="str">
        <f aca="true">IF(B101="","",IF(E101="","Date TBC",IF(E101&lt;TODAY(),"Departed",IF(E101-TODAY()&lt;=14,"Due ≤ 14 days",IF(E101-TODAY()&lt;=30,"Due ≤ 30 days","Upcoming")))))</f>
        <v/>
      </c>
      <c r="H101" s="22" t="str">
        <f aca="false">IF(OR(B101="",D101=""),"",IF(D101="New position","New position",IF(COUNTIF('BoM Sheet'!$B$9:$B$108,"*"&amp;D101)=0,"Not on BoM list",IF(_xlfn.MAXIFS('BoM Sheet'!$E$9:$E$108,'BoM Sheet'!$B$9:$B$108,"*"&amp;D101)=0,"Date TBC",_xlfn.MAXIFS('BoM Sheet'!$E$9:$E$108,'BoM Sheet'!$B$9:$B$108,"*"&amp;D101)))))</f>
        <v/>
      </c>
      <c r="I101" s="20" t="str">
        <f aca="false">IF(AND(ISNUMBER(E101),ISNUMBER(H101)),E101-H101,"")</f>
        <v/>
      </c>
      <c r="J101" s="17"/>
    </row>
    <row r="102" customFormat="false" ht="19.5" hidden="false" customHeight="true" outlineLevel="0" collapsed="false">
      <c r="A102" s="23" t="str">
        <f aca="false">IF(B102="","",COUNTA($B$9:B102))</f>
        <v/>
      </c>
      <c r="B102" s="24"/>
      <c r="C102" s="25"/>
      <c r="D102" s="26"/>
      <c r="E102" s="27"/>
      <c r="F102" s="28" t="str">
        <f aca="true">IF(OR(B102="",E102=""),"",E102-TODAY())</f>
        <v/>
      </c>
      <c r="G102" s="29" t="str">
        <f aca="true">IF(B102="","",IF(E102="","Date TBC",IF(E102&lt;TODAY(),"Departed",IF(E102-TODAY()&lt;=14,"Due ≤ 14 days",IF(E102-TODAY()&lt;=30,"Due ≤ 30 days","Upcoming")))))</f>
        <v/>
      </c>
      <c r="H102" s="30" t="str">
        <f aca="false">IF(OR(B102="",D102=""),"",IF(D102="New position","New position",IF(COUNTIF('BoM Sheet'!$B$9:$B$108,"*"&amp;D102)=0,"Not on BoM list",IF(_xlfn.MAXIFS('BoM Sheet'!$E$9:$E$108,'BoM Sheet'!$B$9:$B$108,"*"&amp;D102)=0,"Date TBC",_xlfn.MAXIFS('BoM Sheet'!$E$9:$E$108,'BoM Sheet'!$B$9:$B$108,"*"&amp;D102)))))</f>
        <v/>
      </c>
      <c r="I102" s="28" t="str">
        <f aca="false">IF(AND(ISNUMBER(E102),ISNUMBER(H102)),E102-H102,"")</f>
        <v/>
      </c>
      <c r="J102" s="25"/>
    </row>
    <row r="103" customFormat="false" ht="19.5" hidden="false" customHeight="true" outlineLevel="0" collapsed="false">
      <c r="A103" s="15" t="str">
        <f aca="false">IF(B103="","",COUNTA($B$9:B103))</f>
        <v/>
      </c>
      <c r="B103" s="16"/>
      <c r="C103" s="17"/>
      <c r="D103" s="18"/>
      <c r="E103" s="19"/>
      <c r="F103" s="20" t="str">
        <f aca="true">IF(OR(B103="",E103=""),"",E103-TODAY())</f>
        <v/>
      </c>
      <c r="G103" s="21" t="str">
        <f aca="true">IF(B103="","",IF(E103="","Date TBC",IF(E103&lt;TODAY(),"Departed",IF(E103-TODAY()&lt;=14,"Due ≤ 14 days",IF(E103-TODAY()&lt;=30,"Due ≤ 30 days","Upcoming")))))</f>
        <v/>
      </c>
      <c r="H103" s="22" t="str">
        <f aca="false">IF(OR(B103="",D103=""),"",IF(D103="New position","New position",IF(COUNTIF('BoM Sheet'!$B$9:$B$108,"*"&amp;D103)=0,"Not on BoM list",IF(_xlfn.MAXIFS('BoM Sheet'!$E$9:$E$108,'BoM Sheet'!$B$9:$B$108,"*"&amp;D103)=0,"Date TBC",_xlfn.MAXIFS('BoM Sheet'!$E$9:$E$108,'BoM Sheet'!$B$9:$B$108,"*"&amp;D103)))))</f>
        <v/>
      </c>
      <c r="I103" s="20" t="str">
        <f aca="false">IF(AND(ISNUMBER(E103),ISNUMBER(H103)),E103-H103,"")</f>
        <v/>
      </c>
      <c r="J103" s="17"/>
    </row>
    <row r="104" customFormat="false" ht="19.5" hidden="false" customHeight="true" outlineLevel="0" collapsed="false">
      <c r="A104" s="23" t="str">
        <f aca="false">IF(B104="","",COUNTA($B$9:B104))</f>
        <v/>
      </c>
      <c r="B104" s="24"/>
      <c r="C104" s="25"/>
      <c r="D104" s="26"/>
      <c r="E104" s="27"/>
      <c r="F104" s="28" t="str">
        <f aca="true">IF(OR(B104="",E104=""),"",E104-TODAY())</f>
        <v/>
      </c>
      <c r="G104" s="29" t="str">
        <f aca="true">IF(B104="","",IF(E104="","Date TBC",IF(E104&lt;TODAY(),"Departed",IF(E104-TODAY()&lt;=14,"Due ≤ 14 days",IF(E104-TODAY()&lt;=30,"Due ≤ 30 days","Upcoming")))))</f>
        <v/>
      </c>
      <c r="H104" s="30" t="str">
        <f aca="false">IF(OR(B104="",D104=""),"",IF(D104="New position","New position",IF(COUNTIF('BoM Sheet'!$B$9:$B$108,"*"&amp;D104)=0,"Not on BoM list",IF(_xlfn.MAXIFS('BoM Sheet'!$E$9:$E$108,'BoM Sheet'!$B$9:$B$108,"*"&amp;D104)=0,"Date TBC",_xlfn.MAXIFS('BoM Sheet'!$E$9:$E$108,'BoM Sheet'!$B$9:$B$108,"*"&amp;D104)))))</f>
        <v/>
      </c>
      <c r="I104" s="28" t="str">
        <f aca="false">IF(AND(ISNUMBER(E104),ISNUMBER(H104)),E104-H104,"")</f>
        <v/>
      </c>
      <c r="J104" s="25"/>
    </row>
    <row r="105" customFormat="false" ht="19.5" hidden="false" customHeight="true" outlineLevel="0" collapsed="false">
      <c r="A105" s="15" t="str">
        <f aca="false">IF(B105="","",COUNTA($B$9:B105))</f>
        <v/>
      </c>
      <c r="B105" s="16"/>
      <c r="C105" s="17"/>
      <c r="D105" s="18"/>
      <c r="E105" s="19"/>
      <c r="F105" s="20" t="str">
        <f aca="true">IF(OR(B105="",E105=""),"",E105-TODAY())</f>
        <v/>
      </c>
      <c r="G105" s="21" t="str">
        <f aca="true">IF(B105="","",IF(E105="","Date TBC",IF(E105&lt;TODAY(),"Departed",IF(E105-TODAY()&lt;=14,"Due ≤ 14 days",IF(E105-TODAY()&lt;=30,"Due ≤ 30 days","Upcoming")))))</f>
        <v/>
      </c>
      <c r="H105" s="22" t="str">
        <f aca="false">IF(OR(B105="",D105=""),"",IF(D105="New position","New position",IF(COUNTIF('BoM Sheet'!$B$9:$B$108,"*"&amp;D105)=0,"Not on BoM list",IF(_xlfn.MAXIFS('BoM Sheet'!$E$9:$E$108,'BoM Sheet'!$B$9:$B$108,"*"&amp;D105)=0,"Date TBC",_xlfn.MAXIFS('BoM Sheet'!$E$9:$E$108,'BoM Sheet'!$B$9:$B$108,"*"&amp;D105)))))</f>
        <v/>
      </c>
      <c r="I105" s="20" t="str">
        <f aca="false">IF(AND(ISNUMBER(E105),ISNUMBER(H105)),E105-H105,"")</f>
        <v/>
      </c>
      <c r="J105" s="17"/>
    </row>
    <row r="106" customFormat="false" ht="19.5" hidden="false" customHeight="true" outlineLevel="0" collapsed="false">
      <c r="A106" s="23" t="str">
        <f aca="false">IF(B106="","",COUNTA($B$9:B106))</f>
        <v/>
      </c>
      <c r="B106" s="24"/>
      <c r="C106" s="25"/>
      <c r="D106" s="26"/>
      <c r="E106" s="27"/>
      <c r="F106" s="28" t="str">
        <f aca="true">IF(OR(B106="",E106=""),"",E106-TODAY())</f>
        <v/>
      </c>
      <c r="G106" s="29" t="str">
        <f aca="true">IF(B106="","",IF(E106="","Date TBC",IF(E106&lt;TODAY(),"Departed",IF(E106-TODAY()&lt;=14,"Due ≤ 14 days",IF(E106-TODAY()&lt;=30,"Due ≤ 30 days","Upcoming")))))</f>
        <v/>
      </c>
      <c r="H106" s="30" t="str">
        <f aca="false">IF(OR(B106="",D106=""),"",IF(D106="New position","New position",IF(COUNTIF('BoM Sheet'!$B$9:$B$108,"*"&amp;D106)=0,"Not on BoM list",IF(_xlfn.MAXIFS('BoM Sheet'!$E$9:$E$108,'BoM Sheet'!$B$9:$B$108,"*"&amp;D106)=0,"Date TBC",_xlfn.MAXIFS('BoM Sheet'!$E$9:$E$108,'BoM Sheet'!$B$9:$B$108,"*"&amp;D106)))))</f>
        <v/>
      </c>
      <c r="I106" s="28" t="str">
        <f aca="false">IF(AND(ISNUMBER(E106),ISNUMBER(H106)),E106-H106,"")</f>
        <v/>
      </c>
      <c r="J106" s="25"/>
    </row>
    <row r="107" customFormat="false" ht="19.5" hidden="false" customHeight="true" outlineLevel="0" collapsed="false">
      <c r="A107" s="15" t="str">
        <f aca="false">IF(B107="","",COUNTA($B$9:B107))</f>
        <v/>
      </c>
      <c r="B107" s="16"/>
      <c r="C107" s="17"/>
      <c r="D107" s="18"/>
      <c r="E107" s="19"/>
      <c r="F107" s="20" t="str">
        <f aca="true">IF(OR(B107="",E107=""),"",E107-TODAY())</f>
        <v/>
      </c>
      <c r="G107" s="21" t="str">
        <f aca="true">IF(B107="","",IF(E107="","Date TBC",IF(E107&lt;TODAY(),"Departed",IF(E107-TODAY()&lt;=14,"Due ≤ 14 days",IF(E107-TODAY()&lt;=30,"Due ≤ 30 days","Upcoming")))))</f>
        <v/>
      </c>
      <c r="H107" s="22" t="str">
        <f aca="false">IF(OR(B107="",D107=""),"",IF(D107="New position","New position",IF(COUNTIF('BoM Sheet'!$B$9:$B$108,"*"&amp;D107)=0,"Not on BoM list",IF(_xlfn.MAXIFS('BoM Sheet'!$E$9:$E$108,'BoM Sheet'!$B$9:$B$108,"*"&amp;D107)=0,"Date TBC",_xlfn.MAXIFS('BoM Sheet'!$E$9:$E$108,'BoM Sheet'!$B$9:$B$108,"*"&amp;D107)))))</f>
        <v/>
      </c>
      <c r="I107" s="20" t="str">
        <f aca="false">IF(AND(ISNUMBER(E107),ISNUMBER(H107)),E107-H107,"")</f>
        <v/>
      </c>
      <c r="J107" s="17"/>
    </row>
    <row r="108" customFormat="false" ht="19.5" hidden="false" customHeight="true" outlineLevel="0" collapsed="false">
      <c r="A108" s="23" t="str">
        <f aca="false">IF(B108="","",COUNTA($B$9:B108))</f>
        <v/>
      </c>
      <c r="B108" s="24"/>
      <c r="C108" s="25"/>
      <c r="D108" s="26"/>
      <c r="E108" s="27"/>
      <c r="F108" s="28" t="str">
        <f aca="true">IF(OR(B108="",E108=""),"",E108-TODAY())</f>
        <v/>
      </c>
      <c r="G108" s="29" t="str">
        <f aca="true">IF(B108="","",IF(E108="","Date TBC",IF(E108&lt;TODAY(),"Departed",IF(E108-TODAY()&lt;=14,"Due ≤ 14 days",IF(E108-TODAY()&lt;=30,"Due ≤ 30 days","Upcoming")))))</f>
        <v/>
      </c>
      <c r="H108" s="30" t="str">
        <f aca="false">IF(OR(B108="",D108=""),"",IF(D108="New position","New position",IF(COUNTIF('BoM Sheet'!$B$9:$B$108,"*"&amp;D108)=0,"Not on BoM list",IF(_xlfn.MAXIFS('BoM Sheet'!$E$9:$E$108,'BoM Sheet'!$B$9:$B$108,"*"&amp;D108)=0,"Date TBC",_xlfn.MAXIFS('BoM Sheet'!$E$9:$E$108,'BoM Sheet'!$B$9:$B$108,"*"&amp;D108)))))</f>
        <v/>
      </c>
      <c r="I108" s="28" t="str">
        <f aca="false">IF(AND(ISNUMBER(E108),ISNUMBER(H108)),E108-H108,"")</f>
        <v/>
      </c>
      <c r="J108" s="25"/>
    </row>
    <row r="110" customFormat="false" ht="15" hidden="false" customHeight="false" outlineLevel="0" collapsed="false">
      <c r="B110" s="31" t="s">
        <v>82</v>
      </c>
    </row>
    <row r="111" customFormat="false" ht="15" hidden="false" customHeight="false" outlineLevel="0" collapsed="false">
      <c r="B111" s="32" t="s">
        <v>110</v>
      </c>
      <c r="C111" s="33" t="s">
        <v>84</v>
      </c>
    </row>
    <row r="112" customFormat="false" ht="15" hidden="false" customHeight="false" outlineLevel="0" collapsed="false">
      <c r="B112" s="34" t="s">
        <v>85</v>
      </c>
      <c r="C112" s="33" t="s">
        <v>86</v>
      </c>
    </row>
    <row r="113" customFormat="false" ht="15" hidden="false" customHeight="false" outlineLevel="0" collapsed="false">
      <c r="B113" s="35" t="s">
        <v>87</v>
      </c>
      <c r="C113" s="33" t="s">
        <v>88</v>
      </c>
    </row>
    <row r="114" customFormat="false" ht="15" hidden="false" customHeight="false" outlineLevel="0" collapsed="false">
      <c r="B114" s="36" t="s">
        <v>89</v>
      </c>
      <c r="C114" s="33" t="s">
        <v>90</v>
      </c>
    </row>
    <row r="115" customFormat="false" ht="15" hidden="false" customHeight="false" outlineLevel="0" collapsed="false">
      <c r="B115" s="37" t="s">
        <v>91</v>
      </c>
      <c r="C115" s="33" t="s">
        <v>92</v>
      </c>
    </row>
    <row r="117" customFormat="false" ht="15" hidden="false" customHeight="false" outlineLevel="0" collapsed="false">
      <c r="B117" s="38" t="s">
        <v>93</v>
      </c>
    </row>
  </sheetData>
  <autoFilter ref="A8:J108"/>
  <mergeCells count="11">
    <mergeCell ref="A1:J1"/>
    <mergeCell ref="A2:J2"/>
    <mergeCell ref="A4:B4"/>
    <mergeCell ref="E4:F4"/>
    <mergeCell ref="H4:J4"/>
    <mergeCell ref="A5:B6"/>
    <mergeCell ref="C5:C6"/>
    <mergeCell ref="D5:D6"/>
    <mergeCell ref="E5:F6"/>
    <mergeCell ref="G5:G6"/>
    <mergeCell ref="H5:J6"/>
  </mergeCells>
  <conditionalFormatting sqref="G9:G108">
    <cfRule type="expression" priority="2" aboveAverage="0" equalAverage="0" bottom="0" percent="0" rank="0" text="" dxfId="15">
      <formula>$G9="Due ≤ 14 days"</formula>
    </cfRule>
    <cfRule type="expression" priority="3" aboveAverage="0" equalAverage="0" bottom="0" percent="0" rank="0" text="" dxfId="16">
      <formula>$G9="Due ≤ 30 days"</formula>
    </cfRule>
    <cfRule type="expression" priority="4" aboveAverage="0" equalAverage="0" bottom="0" percent="0" rank="0" text="" dxfId="17">
      <formula>$G9="Upcoming"</formula>
    </cfRule>
    <cfRule type="expression" priority="5" aboveAverage="0" equalAverage="0" bottom="0" percent="0" rank="0" text="" dxfId="18">
      <formula>$G9="Date TBC"</formula>
    </cfRule>
    <cfRule type="expression" priority="6" aboveAverage="0" equalAverage="0" bottom="0" percent="0" rank="0" text="" dxfId="19">
      <formula>$G9="Departed"</formula>
    </cfRule>
  </conditionalFormatting>
  <conditionalFormatting sqref="A9:F108">
    <cfRule type="expression" priority="7" aboveAverage="0" equalAverage="0" bottom="0" percent="0" rank="0" text="" dxfId="20">
      <formula>$G9="Due ≤ 14 days"</formula>
    </cfRule>
  </conditionalFormatting>
  <conditionalFormatting sqref="B9:D108">
    <cfRule type="expression" priority="8" aboveAverage="0" equalAverage="0" bottom="0" percent="0" rank="0" text="" dxfId="21">
      <formula>$G9="Departed"</formula>
    </cfRule>
  </conditionalFormatting>
  <conditionalFormatting sqref="I9:I108">
    <cfRule type="expression" priority="9" aboveAverage="0" equalAverage="0" bottom="0" percent="0" rank="0" text="" dxfId="15">
      <formula>AND(ISNUMBER(I9),I9&lt;0)</formula>
    </cfRule>
    <cfRule type="expression" priority="10" aboveAverage="0" equalAverage="0" bottom="0" percent="0" rank="0" text="" dxfId="22">
      <formula>AND(ISNUMBER(I9),I9&gt;=0)</formula>
    </cfRule>
  </conditionalFormatting>
  <conditionalFormatting sqref="H9:H108">
    <cfRule type="expression" priority="11" aboveAverage="0" equalAverage="0" bottom="0" percent="0" rank="0" text="" dxfId="23">
      <formula>ISTEXT(H9)</formula>
    </cfRule>
  </conditionalFormatting>
  <conditionalFormatting sqref="B9:B108">
    <cfRule type="expression" priority="12" aboveAverage="0" equalAverage="0" bottom="0" percent="0" rank="0" text="" dxfId="16">
      <formula>AND(B9&lt;&gt;"",COUNTIF($B$9:$B$108,B9)&gt;1)</formula>
    </cfRule>
  </conditionalFormatting>
  <dataValidations count="1">
    <dataValidation allowBlank="true" error="Please enter a real date, e.g. 15/12/2026." errorStyle="stop" errorTitle="Invalid date" operator="between" prompt="Enter the date (dd/mm/yyyy). Leave blank if TBC." promptTitle="Date" showDropDown="false" showErrorMessage="true" showInputMessage="true" sqref="E9:E108" type="date">
      <formula1>DATE(2020,1,1)</formula1>
      <formula2>DATE(2035,12,31)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0025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60"/>
    <col collapsed="false" customWidth="true" hidden="false" outlineLevel="0" max="8" min="8" style="0" width="3"/>
  </cols>
  <sheetData>
    <row r="1" customFormat="false" ht="37.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112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B4" s="14" t="s">
        <v>113</v>
      </c>
      <c r="C4" s="14" t="s">
        <v>114</v>
      </c>
      <c r="D4" s="14" t="s">
        <v>115</v>
      </c>
      <c r="E4" s="14" t="s">
        <v>116</v>
      </c>
      <c r="G4" s="39" t="s">
        <v>117</v>
      </c>
    </row>
    <row r="5" customFormat="false" ht="15" hidden="false" customHeight="true" outlineLevel="0" collapsed="false">
      <c r="B5" s="40" t="n">
        <v>46023</v>
      </c>
      <c r="C5" s="41" t="n">
        <f aca="false">COUNTIFS('BoM Sheet'!$E$9:$E$108,"&gt;="&amp;B5,'BoM Sheet'!$E$9:$E$108,"&lt;"&amp;EDATE(B5,1))</f>
        <v>0</v>
      </c>
      <c r="D5" s="41" t="n">
        <f aca="false">COUNTIFS('EoM Sheet'!$E$9:$E$108,"&gt;="&amp;B5,'EoM Sheet'!$E$9:$E$108,"&lt;"&amp;EDATE(B5,1))</f>
        <v>0</v>
      </c>
      <c r="E5" s="42" t="n">
        <f aca="false">C5-D5</f>
        <v>0</v>
      </c>
      <c r="G5" s="43" t="s">
        <v>118</v>
      </c>
    </row>
    <row r="6" customFormat="false" ht="15" hidden="false" customHeight="false" outlineLevel="0" collapsed="false">
      <c r="B6" s="44" t="n">
        <v>46054</v>
      </c>
      <c r="C6" s="45" t="n">
        <f aca="false">COUNTIFS('BoM Sheet'!$E$9:$E$108,"&gt;="&amp;B6,'BoM Sheet'!$E$9:$E$108,"&lt;"&amp;EDATE(B6,1))</f>
        <v>0</v>
      </c>
      <c r="D6" s="45" t="n">
        <f aca="false">COUNTIFS('EoM Sheet'!$E$9:$E$108,"&gt;="&amp;B6,'EoM Sheet'!$E$9:$E$108,"&lt;"&amp;EDATE(B6,1))</f>
        <v>0</v>
      </c>
      <c r="E6" s="46" t="n">
        <f aca="false">C6-D6</f>
        <v>0</v>
      </c>
      <c r="G6" s="43"/>
    </row>
    <row r="7" customFormat="false" ht="15" hidden="false" customHeight="false" outlineLevel="0" collapsed="false">
      <c r="B7" s="40" t="n">
        <v>46082</v>
      </c>
      <c r="C7" s="41" t="n">
        <f aca="false">COUNTIFS('BoM Sheet'!$E$9:$E$108,"&gt;="&amp;B7,'BoM Sheet'!$E$9:$E$108,"&lt;"&amp;EDATE(B7,1))</f>
        <v>0</v>
      </c>
      <c r="D7" s="41" t="n">
        <f aca="false">COUNTIFS('EoM Sheet'!$E$9:$E$108,"&gt;="&amp;B7,'EoM Sheet'!$E$9:$E$108,"&lt;"&amp;EDATE(B7,1))</f>
        <v>0</v>
      </c>
      <c r="E7" s="42" t="n">
        <f aca="false">C7-D7</f>
        <v>0</v>
      </c>
      <c r="G7" s="43"/>
    </row>
    <row r="8" customFormat="false" ht="15" hidden="false" customHeight="false" outlineLevel="0" collapsed="false">
      <c r="B8" s="44" t="n">
        <v>46113</v>
      </c>
      <c r="C8" s="45" t="n">
        <f aca="false">COUNTIFS('BoM Sheet'!$E$9:$E$108,"&gt;="&amp;B8,'BoM Sheet'!$E$9:$E$108,"&lt;"&amp;EDATE(B8,1))</f>
        <v>3</v>
      </c>
      <c r="D8" s="45" t="n">
        <f aca="false">COUNTIFS('EoM Sheet'!$E$9:$E$108,"&gt;="&amp;B8,'EoM Sheet'!$E$9:$E$108,"&lt;"&amp;EDATE(B8,1))</f>
        <v>0</v>
      </c>
      <c r="E8" s="46" t="n">
        <f aca="false">C8-D8</f>
        <v>3</v>
      </c>
      <c r="G8" s="43"/>
    </row>
    <row r="9" customFormat="false" ht="15" hidden="false" customHeight="false" outlineLevel="0" collapsed="false">
      <c r="B9" s="40" t="n">
        <v>46143</v>
      </c>
      <c r="C9" s="41" t="n">
        <f aca="false">COUNTIFS('BoM Sheet'!$E$9:$E$108,"&gt;="&amp;B9,'BoM Sheet'!$E$9:$E$108,"&lt;"&amp;EDATE(B9,1))</f>
        <v>2</v>
      </c>
      <c r="D9" s="41" t="n">
        <f aca="false">COUNTIFS('EoM Sheet'!$E$9:$E$108,"&gt;="&amp;B9,'EoM Sheet'!$E$9:$E$108,"&lt;"&amp;EDATE(B9,1))</f>
        <v>0</v>
      </c>
      <c r="E9" s="42" t="n">
        <f aca="false">C9-D9</f>
        <v>2</v>
      </c>
      <c r="G9" s="43"/>
    </row>
    <row r="10" customFormat="false" ht="15" hidden="false" customHeight="false" outlineLevel="0" collapsed="false">
      <c r="B10" s="44" t="n">
        <v>46174</v>
      </c>
      <c r="C10" s="45" t="n">
        <f aca="false">COUNTIFS('BoM Sheet'!$E$9:$E$108,"&gt;="&amp;B10,'BoM Sheet'!$E$9:$E$108,"&lt;"&amp;EDATE(B10,1))</f>
        <v>1</v>
      </c>
      <c r="D10" s="45" t="n">
        <f aca="false">COUNTIFS('EoM Sheet'!$E$9:$E$108,"&gt;="&amp;B10,'EoM Sheet'!$E$9:$E$108,"&lt;"&amp;EDATE(B10,1))</f>
        <v>2</v>
      </c>
      <c r="E10" s="46" t="n">
        <f aca="false">C10-D10</f>
        <v>-1</v>
      </c>
      <c r="G10" s="43"/>
    </row>
    <row r="11" customFormat="false" ht="15" hidden="false" customHeight="false" outlineLevel="0" collapsed="false">
      <c r="B11" s="40" t="n">
        <v>46204</v>
      </c>
      <c r="C11" s="41" t="n">
        <f aca="false">COUNTIFS('BoM Sheet'!$E$9:$E$108,"&gt;="&amp;B11,'BoM Sheet'!$E$9:$E$108,"&lt;"&amp;EDATE(B11,1))</f>
        <v>4</v>
      </c>
      <c r="D11" s="41" t="n">
        <f aca="false">COUNTIFS('EoM Sheet'!$E$9:$E$108,"&gt;="&amp;B11,'EoM Sheet'!$E$9:$E$108,"&lt;"&amp;EDATE(B11,1))</f>
        <v>2</v>
      </c>
      <c r="E11" s="42" t="n">
        <f aca="false">C11-D11</f>
        <v>2</v>
      </c>
      <c r="G11" s="43"/>
    </row>
    <row r="12" customFormat="false" ht="15" hidden="false" customHeight="false" outlineLevel="0" collapsed="false">
      <c r="B12" s="44" t="n">
        <v>46235</v>
      </c>
      <c r="C12" s="45" t="n">
        <f aca="false">COUNTIFS('BoM Sheet'!$E$9:$E$108,"&gt;="&amp;B12,'BoM Sheet'!$E$9:$E$108,"&lt;"&amp;EDATE(B12,1))</f>
        <v>2</v>
      </c>
      <c r="D12" s="45" t="n">
        <f aca="false">COUNTIFS('EoM Sheet'!$E$9:$E$108,"&gt;="&amp;B12,'EoM Sheet'!$E$9:$E$108,"&lt;"&amp;EDATE(B12,1))</f>
        <v>2</v>
      </c>
      <c r="E12" s="46" t="n">
        <f aca="false">C12-D12</f>
        <v>0</v>
      </c>
      <c r="G12" s="43"/>
    </row>
    <row r="13" customFormat="false" ht="15" hidden="false" customHeight="false" outlineLevel="0" collapsed="false">
      <c r="B13" s="40" t="n">
        <v>46266</v>
      </c>
      <c r="C13" s="41" t="n">
        <f aca="false">COUNTIFS('BoM Sheet'!$E$9:$E$108,"&gt;="&amp;B13,'BoM Sheet'!$E$9:$E$108,"&lt;"&amp;EDATE(B13,1))</f>
        <v>3</v>
      </c>
      <c r="D13" s="41" t="n">
        <f aca="false">COUNTIFS('EoM Sheet'!$E$9:$E$108,"&gt;="&amp;B13,'EoM Sheet'!$E$9:$E$108,"&lt;"&amp;EDATE(B13,1))</f>
        <v>2</v>
      </c>
      <c r="E13" s="42" t="n">
        <f aca="false">C13-D13</f>
        <v>1</v>
      </c>
      <c r="G13" s="43"/>
    </row>
    <row r="14" customFormat="false" ht="15" hidden="false" customHeight="false" outlineLevel="0" collapsed="false">
      <c r="B14" s="44" t="n">
        <v>46296</v>
      </c>
      <c r="C14" s="45" t="n">
        <f aca="false">COUNTIFS('BoM Sheet'!$E$9:$E$108,"&gt;="&amp;B14,'BoM Sheet'!$E$9:$E$108,"&lt;"&amp;EDATE(B14,1))</f>
        <v>3</v>
      </c>
      <c r="D14" s="45" t="n">
        <f aca="false">COUNTIFS('EoM Sheet'!$E$9:$E$108,"&gt;="&amp;B14,'EoM Sheet'!$E$9:$E$108,"&lt;"&amp;EDATE(B14,1))</f>
        <v>2</v>
      </c>
      <c r="E14" s="46" t="n">
        <f aca="false">C14-D14</f>
        <v>1</v>
      </c>
      <c r="G14" s="43"/>
    </row>
    <row r="15" customFormat="false" ht="15" hidden="false" customHeight="false" outlineLevel="0" collapsed="false">
      <c r="B15" s="40" t="n">
        <v>46327</v>
      </c>
      <c r="C15" s="41" t="n">
        <f aca="false">COUNTIFS('BoM Sheet'!$E$9:$E$108,"&gt;="&amp;B15,'BoM Sheet'!$E$9:$E$108,"&lt;"&amp;EDATE(B15,1))</f>
        <v>1</v>
      </c>
      <c r="D15" s="41" t="n">
        <f aca="false">COUNTIFS('EoM Sheet'!$E$9:$E$108,"&gt;="&amp;B15,'EoM Sheet'!$E$9:$E$108,"&lt;"&amp;EDATE(B15,1))</f>
        <v>1</v>
      </c>
      <c r="E15" s="42" t="n">
        <f aca="false">C15-D15</f>
        <v>0</v>
      </c>
      <c r="G15" s="43"/>
    </row>
    <row r="16" customFormat="false" ht="15" hidden="false" customHeight="false" outlineLevel="0" collapsed="false">
      <c r="B16" s="44" t="n">
        <v>46357</v>
      </c>
      <c r="C16" s="45" t="n">
        <f aca="false">COUNTIFS('BoM Sheet'!$E$9:$E$108,"&gt;="&amp;B16,'BoM Sheet'!$E$9:$E$108,"&lt;"&amp;EDATE(B16,1))</f>
        <v>1</v>
      </c>
      <c r="D16" s="45" t="n">
        <f aca="false">COUNTIFS('EoM Sheet'!$E$9:$E$108,"&gt;="&amp;B16,'EoM Sheet'!$E$9:$E$108,"&lt;"&amp;EDATE(B16,1))</f>
        <v>2</v>
      </c>
      <c r="E16" s="46" t="n">
        <f aca="false">C16-D16</f>
        <v>-1</v>
      </c>
      <c r="G16" s="43"/>
    </row>
    <row r="17" customFormat="false" ht="15" hidden="false" customHeight="false" outlineLevel="0" collapsed="false">
      <c r="B17" s="40" t="n">
        <v>46388</v>
      </c>
      <c r="C17" s="41" t="n">
        <f aca="false">COUNTIFS('BoM Sheet'!$E$9:$E$108,"&gt;="&amp;B17,'BoM Sheet'!$E$9:$E$108,"&lt;"&amp;EDATE(B17,1))</f>
        <v>1</v>
      </c>
      <c r="D17" s="41" t="n">
        <f aca="false">COUNTIFS('EoM Sheet'!$E$9:$E$108,"&gt;="&amp;B17,'EoM Sheet'!$E$9:$E$108,"&lt;"&amp;EDATE(B17,1))</f>
        <v>1</v>
      </c>
      <c r="E17" s="42" t="n">
        <f aca="false">C17-D17</f>
        <v>0</v>
      </c>
      <c r="G17" s="43"/>
    </row>
    <row r="18" customFormat="false" ht="15" hidden="false" customHeight="false" outlineLevel="0" collapsed="false">
      <c r="B18" s="44" t="n">
        <v>46419</v>
      </c>
      <c r="C18" s="45" t="n">
        <f aca="false">COUNTIFS('BoM Sheet'!$E$9:$E$108,"&gt;="&amp;B18,'BoM Sheet'!$E$9:$E$108,"&lt;"&amp;EDATE(B18,1))</f>
        <v>0</v>
      </c>
      <c r="D18" s="45" t="n">
        <f aca="false">COUNTIFS('EoM Sheet'!$E$9:$E$108,"&gt;="&amp;B18,'EoM Sheet'!$E$9:$E$108,"&lt;"&amp;EDATE(B18,1))</f>
        <v>0</v>
      </c>
      <c r="E18" s="46" t="n">
        <f aca="false">C18-D18</f>
        <v>0</v>
      </c>
      <c r="G18" s="43"/>
    </row>
    <row r="19" customFormat="false" ht="15" hidden="false" customHeight="false" outlineLevel="0" collapsed="false">
      <c r="B19" s="40" t="n">
        <v>46447</v>
      </c>
      <c r="C19" s="41" t="n">
        <f aca="false">COUNTIFS('BoM Sheet'!$E$9:$E$108,"&gt;="&amp;B19,'BoM Sheet'!$E$9:$E$108,"&lt;"&amp;EDATE(B19,1))</f>
        <v>1</v>
      </c>
      <c r="D19" s="41" t="n">
        <f aca="false">COUNTIFS('EoM Sheet'!$E$9:$E$108,"&gt;="&amp;B19,'EoM Sheet'!$E$9:$E$108,"&lt;"&amp;EDATE(B19,1))</f>
        <v>1</v>
      </c>
      <c r="E19" s="42" t="n">
        <f aca="false">C19-D19</f>
        <v>0</v>
      </c>
      <c r="G19" s="43"/>
    </row>
    <row r="20" customFormat="false" ht="15" hidden="false" customHeight="false" outlineLevel="0" collapsed="false">
      <c r="B20" s="44" t="n">
        <v>46478</v>
      </c>
      <c r="C20" s="45" t="n">
        <f aca="false">COUNTIFS('BoM Sheet'!$E$9:$E$108,"&gt;="&amp;B20,'BoM Sheet'!$E$9:$E$108,"&lt;"&amp;EDATE(B20,1))</f>
        <v>0</v>
      </c>
      <c r="D20" s="45" t="n">
        <f aca="false">COUNTIFS('EoM Sheet'!$E$9:$E$108,"&gt;="&amp;B20,'EoM Sheet'!$E$9:$E$108,"&lt;"&amp;EDATE(B20,1))</f>
        <v>0</v>
      </c>
      <c r="E20" s="46" t="n">
        <f aca="false">C20-D20</f>
        <v>0</v>
      </c>
      <c r="G20" s="43"/>
    </row>
    <row r="21" customFormat="false" ht="15" hidden="false" customHeight="false" outlineLevel="0" collapsed="false">
      <c r="B21" s="40" t="n">
        <v>46508</v>
      </c>
      <c r="C21" s="41" t="n">
        <f aca="false">COUNTIFS('BoM Sheet'!$E$9:$E$108,"&gt;="&amp;B21,'BoM Sheet'!$E$9:$E$108,"&lt;"&amp;EDATE(B21,1))</f>
        <v>0</v>
      </c>
      <c r="D21" s="41" t="n">
        <f aca="false">COUNTIFS('EoM Sheet'!$E$9:$E$108,"&gt;="&amp;B21,'EoM Sheet'!$E$9:$E$108,"&lt;"&amp;EDATE(B21,1))</f>
        <v>0</v>
      </c>
      <c r="E21" s="42" t="n">
        <f aca="false">C21-D21</f>
        <v>0</v>
      </c>
    </row>
    <row r="22" customFormat="false" ht="15" hidden="false" customHeight="false" outlineLevel="0" collapsed="false">
      <c r="B22" s="44" t="n">
        <v>46539</v>
      </c>
      <c r="C22" s="45" t="n">
        <f aca="false">COUNTIFS('BoM Sheet'!$E$9:$E$108,"&gt;="&amp;B22,'BoM Sheet'!$E$9:$E$108,"&lt;"&amp;EDATE(B22,1))</f>
        <v>0</v>
      </c>
      <c r="D22" s="45" t="n">
        <f aca="false">COUNTIFS('EoM Sheet'!$E$9:$E$108,"&gt;="&amp;B22,'EoM Sheet'!$E$9:$E$108,"&lt;"&amp;EDATE(B22,1))</f>
        <v>0</v>
      </c>
      <c r="E22" s="46" t="n">
        <f aca="false">C22-D22</f>
        <v>0</v>
      </c>
    </row>
    <row r="23" customFormat="false" ht="15" hidden="false" customHeight="false" outlineLevel="0" collapsed="false">
      <c r="B23" s="40" t="n">
        <v>46569</v>
      </c>
      <c r="C23" s="41" t="n">
        <f aca="false">COUNTIFS('BoM Sheet'!$E$9:$E$108,"&gt;="&amp;B23,'BoM Sheet'!$E$9:$E$108,"&lt;"&amp;EDATE(B23,1))</f>
        <v>0</v>
      </c>
      <c r="D23" s="41" t="n">
        <f aca="false">COUNTIFS('EoM Sheet'!$E$9:$E$108,"&gt;="&amp;B23,'EoM Sheet'!$E$9:$E$108,"&lt;"&amp;EDATE(B23,1))</f>
        <v>0</v>
      </c>
      <c r="E23" s="42" t="n">
        <f aca="false">C23-D23</f>
        <v>0</v>
      </c>
    </row>
    <row r="24" customFormat="false" ht="15" hidden="false" customHeight="false" outlineLevel="0" collapsed="false">
      <c r="B24" s="44" t="n">
        <v>46600</v>
      </c>
      <c r="C24" s="45" t="n">
        <f aca="false">COUNTIFS('BoM Sheet'!$E$9:$E$108,"&gt;="&amp;B24,'BoM Sheet'!$E$9:$E$108,"&lt;"&amp;EDATE(B24,1))</f>
        <v>0</v>
      </c>
      <c r="D24" s="45" t="n">
        <f aca="false">COUNTIFS('EoM Sheet'!$E$9:$E$108,"&gt;="&amp;B24,'EoM Sheet'!$E$9:$E$108,"&lt;"&amp;EDATE(B24,1))</f>
        <v>0</v>
      </c>
      <c r="E24" s="46" t="n">
        <f aca="false">C24-D24</f>
        <v>0</v>
      </c>
    </row>
    <row r="25" customFormat="false" ht="15" hidden="false" customHeight="false" outlineLevel="0" collapsed="false">
      <c r="B25" s="40" t="n">
        <v>46631</v>
      </c>
      <c r="C25" s="41" t="n">
        <f aca="false">COUNTIFS('BoM Sheet'!$E$9:$E$108,"&gt;="&amp;B25,'BoM Sheet'!$E$9:$E$108,"&lt;"&amp;EDATE(B25,1))</f>
        <v>0</v>
      </c>
      <c r="D25" s="41" t="n">
        <f aca="false">COUNTIFS('EoM Sheet'!$E$9:$E$108,"&gt;="&amp;B25,'EoM Sheet'!$E$9:$E$108,"&lt;"&amp;EDATE(B25,1))</f>
        <v>0</v>
      </c>
      <c r="E25" s="42" t="n">
        <f aca="false">C25-D25</f>
        <v>0</v>
      </c>
    </row>
    <row r="26" customFormat="false" ht="15" hidden="false" customHeight="false" outlineLevel="0" collapsed="false">
      <c r="B26" s="44" t="n">
        <v>46661</v>
      </c>
      <c r="C26" s="45" t="n">
        <f aca="false">COUNTIFS('BoM Sheet'!$E$9:$E$108,"&gt;="&amp;B26,'BoM Sheet'!$E$9:$E$108,"&lt;"&amp;EDATE(B26,1))</f>
        <v>0</v>
      </c>
      <c r="D26" s="45" t="n">
        <f aca="false">COUNTIFS('EoM Sheet'!$E$9:$E$108,"&gt;="&amp;B26,'EoM Sheet'!$E$9:$E$108,"&lt;"&amp;EDATE(B26,1))</f>
        <v>0</v>
      </c>
      <c r="E26" s="46" t="n">
        <f aca="false">C26-D26</f>
        <v>0</v>
      </c>
    </row>
    <row r="27" customFormat="false" ht="15" hidden="false" customHeight="false" outlineLevel="0" collapsed="false">
      <c r="B27" s="40" t="n">
        <v>46692</v>
      </c>
      <c r="C27" s="41" t="n">
        <f aca="false">COUNTIFS('BoM Sheet'!$E$9:$E$108,"&gt;="&amp;B27,'BoM Sheet'!$E$9:$E$108,"&lt;"&amp;EDATE(B27,1))</f>
        <v>0</v>
      </c>
      <c r="D27" s="41" t="n">
        <f aca="false">COUNTIFS('EoM Sheet'!$E$9:$E$108,"&gt;="&amp;B27,'EoM Sheet'!$E$9:$E$108,"&lt;"&amp;EDATE(B27,1))</f>
        <v>0</v>
      </c>
      <c r="E27" s="42" t="n">
        <f aca="false">C27-D27</f>
        <v>0</v>
      </c>
    </row>
    <row r="28" customFormat="false" ht="15" hidden="false" customHeight="false" outlineLevel="0" collapsed="false">
      <c r="B28" s="44" t="n">
        <v>46722</v>
      </c>
      <c r="C28" s="45" t="n">
        <f aca="false">COUNTIFS('BoM Sheet'!$E$9:$E$108,"&gt;="&amp;B28,'BoM Sheet'!$E$9:$E$108,"&lt;"&amp;EDATE(B28,1))</f>
        <v>0</v>
      </c>
      <c r="D28" s="45" t="n">
        <f aca="false">COUNTIFS('EoM Sheet'!$E$9:$E$108,"&gt;="&amp;B28,'EoM Sheet'!$E$9:$E$108,"&lt;"&amp;EDATE(B28,1))</f>
        <v>0</v>
      </c>
      <c r="E28" s="46" t="n">
        <f aca="false">C28-D28</f>
        <v>0</v>
      </c>
    </row>
    <row r="29" customFormat="false" ht="15" hidden="false" customHeight="false" outlineLevel="0" collapsed="false">
      <c r="B29" s="47" t="s">
        <v>119</v>
      </c>
      <c r="C29" s="47" t="n">
        <f aca="false">SUM(C5:C28)</f>
        <v>22</v>
      </c>
      <c r="D29" s="47" t="n">
        <f aca="false">SUM(D5:D28)</f>
        <v>15</v>
      </c>
      <c r="E29" s="48" t="n">
        <f aca="false">SUM(E5:E28)</f>
        <v>7</v>
      </c>
    </row>
  </sheetData>
  <mergeCells count="3">
    <mergeCell ref="A1:G1"/>
    <mergeCell ref="A2:G2"/>
    <mergeCell ref="G5:G20"/>
  </mergeCells>
  <conditionalFormatting sqref="C5:C28">
    <cfRule type="dataBar" priority="2">
      <dataBar showValue="1" minLength="10" maxLength="90">
        <cfvo type="num" val="0"/>
        <cfvo type="max" val="0"/>
        <color rgb="FFC9A0B5"/>
      </dataBar>
      <extLst>
        <ext xmlns:x14="http://schemas.microsoft.com/office/spreadsheetml/2009/9/main" uri="{B025F937-C7B1-47D3-B67F-A62EFF666E3E}">
          <x14:id>{23F0F4CF-2926-45D7-9A2F-369164A285D0}</x14:id>
        </ext>
      </extLst>
    </cfRule>
  </conditionalFormatting>
  <conditionalFormatting sqref="D5:D28">
    <cfRule type="dataBar" priority="3">
      <dataBar showValue="1" minLength="10" maxLength="90">
        <cfvo type="num" val="0"/>
        <cfvo type="max" val="0"/>
        <color rgb="FFA6A6A6"/>
      </dataBar>
      <extLst>
        <ext xmlns:x14="http://schemas.microsoft.com/office/spreadsheetml/2009/9/main" uri="{B025F937-C7B1-47D3-B67F-A62EFF666E3E}">
          <x14:id>{4FBBC582-DE7C-4038-97CF-606BC7FD839E}</x14:id>
        </ext>
      </extLst>
    </cfRule>
  </conditionalFormatting>
  <conditionalFormatting sqref="C5:E28">
    <cfRule type="expression" priority="4" aboveAverage="0" equalAverage="0" bottom="0" percent="0" rank="0" text="" dxfId="28">
      <formula>C5=0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F0F4CF-2926-45D7-9A2F-369164A285D0}">
            <x14:dataBar minLength="10" maxLength="90" axisPosition="none" gradient="true">
              <x14:cfvo type="num">
                <xm:f>0</xm:f>
              </x14:cfvo>
              <x14:cfvo type="max"/>
              <x14:negativeFillColor rgb="FFC9A0B5"/>
              <x14:axisColor rgb="FF000000"/>
            </x14:dataBar>
          </x14:cfRule>
          <xm:sqref>C5:C28</xm:sqref>
        </x14:conditionalFormatting>
        <x14:conditionalFormatting xmlns:xm="http://schemas.microsoft.com/office/excel/2006/main">
          <x14:cfRule type="dataBar" id="{4FBBC582-DE7C-4038-97CF-606BC7FD839E}">
            <x14:dataBar minLength="10" maxLength="90" axisPosition="none" gradient="true">
              <x14:cfvo type="num">
                <xm:f>0</xm:f>
              </x14:cfvo>
              <x14:cfvo type="max"/>
              <x14:negativeFillColor rgb="FFA6A6A6"/>
              <x14:axisColor rgb="FF000000"/>
            </x14:dataBar>
          </x14:cfRule>
          <xm:sqref>D5:D28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2026-10-29T05:40:58Z</dcterms:created>
  <dc:creator>openpyxl</dc:creator>
  <dc:description/>
  <dc:language>en-US</dc:language>
  <cp:lastModifiedBy/>
  <dcterms:modified xsi:type="dcterms:W3CDTF">2026-10-29T05:40:58Z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